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umen" sheetId="2" state="visible" r:id="rId2"/>
    <sheet name="Ingresos" sheetId="3" state="visible" r:id="rId3"/>
    <sheet name="Gastos" sheetId="4" state="visible" r:id="rId4"/>
    <sheet name="Retiros" sheetId="5" state="visible" r:id="rId5"/>
    <sheet name="Mensual" sheetId="6" state="visible" r:id="rId6"/>
    <sheet name="Renta" sheetId="7" state="visible" r:id="rId7"/>
    <sheet name="Flujo" sheetId="8" state="visible" r:id="rId8"/>
    <sheet name="Parámetros" sheetId="9" state="visible" r:id="rId9"/>
  </sheets>
  <definedNames>
    <definedName name="_xlnm._FilterDatabase" localSheetId="2" hidden="1">'Ingresos'!$A$7:$O$157</definedName>
    <definedName name="_xlnm._FilterDatabase" localSheetId="3" hidden="1">'Gastos'!$A$7:$V$257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%"/>
    <numFmt numFmtId="166" formatCode="$#,##0;($#,##0);&quot;-&quot;"/>
    <numFmt numFmtId="167" formatCode="0.0"/>
    <numFmt numFmtId="168" formatCode="yyyy-mm-dd"/>
    <numFmt numFmtId="169" formatCode="DD-MM-YYYY"/>
  </numFmts>
  <fonts count="2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0000FF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864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i val="1"/>
      <color rgb="00808080"/>
      <sz val="10"/>
    </font>
    <font>
      <name val="Arial"/>
      <color rgb="00008000"/>
      <sz val="10"/>
    </font>
    <font>
      <name val="Arial"/>
      <i val="1"/>
      <color rgb="00595959"/>
      <sz val="11"/>
    </font>
    <font>
      <name val="Arial"/>
      <b val="1"/>
      <color rgb="00595959"/>
      <sz val="9"/>
    </font>
    <font>
      <name val="Arial"/>
      <b val="1"/>
      <color rgb="001F3864"/>
      <sz val="18"/>
    </font>
    <font>
      <name val="Arial"/>
      <b val="1"/>
      <sz val="10"/>
    </font>
    <font>
      <name val="Arial"/>
      <b val="1"/>
      <color rgb="001F3864"/>
      <sz val="20"/>
    </font>
    <font>
      <name val="Arial"/>
      <b val="1"/>
      <color rgb="001F3864"/>
      <sz val="12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1F3864"/>
      <sz val="10"/>
    </font>
    <font>
      <name val="Arial"/>
      <b val="1"/>
      <color rgb="00C00000"/>
      <sz val="9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7" fillId="0" borderId="0" applyAlignment="1" pivotButton="0" quotePrefix="0" xfId="0">
      <alignment vertical="top" wrapText="1"/>
    </xf>
    <xf numFmtId="0" fontId="20" fillId="3" borderId="1" pivotButton="0" quotePrefix="0" xfId="0"/>
    <xf numFmtId="0" fontId="7" fillId="0" borderId="0" pivotButton="0" quotePrefix="0" xfId="0"/>
    <xf numFmtId="0" fontId="11" fillId="0" borderId="1" pivotButton="0" quotePrefix="0" xfId="0"/>
    <xf numFmtId="0" fontId="21" fillId="0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22" fillId="0" borderId="1" pivotButton="0" quotePrefix="0" xfId="0"/>
    <xf numFmtId="0" fontId="7" fillId="0" borderId="1" pivotButton="0" quotePrefix="0" xfId="0"/>
    <xf numFmtId="0" fontId="9" fillId="0" borderId="1" applyAlignment="1" pivotButton="0" quotePrefix="0" xfId="0">
      <alignment horizontal="center"/>
    </xf>
    <xf numFmtId="0" fontId="23" fillId="3" borderId="1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24" fillId="0" borderId="0" pivotButton="0" quotePrefix="0" xfId="0"/>
    <xf numFmtId="0" fontId="9" fillId="0" borderId="0" applyAlignment="1" pivotButton="0" quotePrefix="0" xfId="0">
      <alignment vertical="top" wrapText="1"/>
    </xf>
    <xf numFmtId="0" fontId="1" fillId="0" borderId="0" pivotButton="0" quotePrefix="0" xfId="0"/>
    <xf numFmtId="0" fontId="15" fillId="2" borderId="0" pivotButton="0" quotePrefix="0" xfId="0"/>
    <xf numFmtId="0" fontId="0" fillId="2" borderId="0" pivotButton="0" quotePrefix="0" xfId="0"/>
    <xf numFmtId="166" fontId="16" fillId="2" borderId="0" applyAlignment="1" pivotButton="0" quotePrefix="0" xfId="0">
      <alignment horizontal="left" vertical="center"/>
    </xf>
    <xf numFmtId="0" fontId="9" fillId="2" borderId="0" pivotButton="0" quotePrefix="0" xfId="0"/>
    <xf numFmtId="164" fontId="11" fillId="0" borderId="0" pivotButton="0" quotePrefix="0" xfId="0"/>
    <xf numFmtId="0" fontId="9" fillId="0" borderId="0" pivotButton="0" quotePrefix="0" xfId="0"/>
    <xf numFmtId="166" fontId="13" fillId="0" borderId="1" pivotButton="0" quotePrefix="0" xfId="0"/>
    <xf numFmtId="166" fontId="7" fillId="0" borderId="1" pivotButton="0" quotePrefix="0" xfId="0"/>
    <xf numFmtId="166" fontId="17" fillId="0" borderId="1" pivotButton="0" quotePrefix="0" xfId="0"/>
    <xf numFmtId="0" fontId="10" fillId="4" borderId="0" pivotButton="0" quotePrefix="0" xfId="0"/>
    <xf numFmtId="166" fontId="1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9" fontId="12" fillId="7" borderId="1" pivotButton="0" quotePrefix="0" xfId="0"/>
    <xf numFmtId="0" fontId="12" fillId="7" borderId="1" pivotButton="0" quotePrefix="0" xfId="0"/>
    <xf numFmtId="166" fontId="12" fillId="7" borderId="1" pivotButton="0" quotePrefix="0" xfId="0"/>
    <xf numFmtId="1" fontId="12" fillId="7" borderId="1" applyAlignment="1" pivotButton="0" quotePrefix="0" xfId="0">
      <alignment horizontal="center"/>
    </xf>
    <xf numFmtId="169" fontId="8" fillId="3" borderId="1" pivotButton="0" quotePrefix="0" xfId="0"/>
    <xf numFmtId="0" fontId="8" fillId="3" borderId="1" pivotButton="0" quotePrefix="0" xfId="0"/>
    <xf numFmtId="166" fontId="8" fillId="3" borderId="1" pivotButton="0" quotePrefix="0" xfId="0"/>
    <xf numFmtId="1" fontId="7" fillId="0" borderId="1" applyAlignment="1" pivotButton="0" quotePrefix="0" xfId="0">
      <alignment horizontal="center"/>
    </xf>
    <xf numFmtId="0" fontId="6" fillId="2" borderId="0" pivotButton="0" quotePrefix="0" xfId="0"/>
    <xf numFmtId="0" fontId="11" fillId="0" borderId="0" pivotButton="0" quotePrefix="0" xfId="0"/>
    <xf numFmtId="166" fontId="11" fillId="3" borderId="1" pivotButton="0" quotePrefix="0" xfId="0"/>
    <xf numFmtId="2" fontId="7" fillId="0" borderId="1" pivotButton="0" quotePrefix="0" xfId="0"/>
    <xf numFmtId="164" fontId="7" fillId="0" borderId="1" pivotButton="0" quotePrefix="0" xfId="0"/>
    <xf numFmtId="0" fontId="9" fillId="0" borderId="1" pivotButton="0" quotePrefix="0" xfId="0"/>
    <xf numFmtId="0" fontId="0" fillId="4" borderId="0" pivotButton="0" quotePrefix="0" xfId="0"/>
    <xf numFmtId="0" fontId="0" fillId="2" borderId="1" pivotButton="0" quotePrefix="0" xfId="0"/>
    <xf numFmtId="0" fontId="13" fillId="0" borderId="1" pivotButton="0" quotePrefix="0" xfId="0"/>
    <xf numFmtId="0" fontId="11" fillId="2" borderId="0" pivotButton="0" quotePrefix="0" xfId="0"/>
    <xf numFmtId="164" fontId="11" fillId="2" borderId="1" pivotButton="0" quotePrefix="0" xfId="0"/>
    <xf numFmtId="0" fontId="8" fillId="3" borderId="1" applyAlignment="1" pivotButton="0" quotePrefix="0" xfId="0">
      <alignment horizontal="left"/>
    </xf>
    <xf numFmtId="1" fontId="8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166" fontId="11" fillId="0" borderId="1" pivotButton="0" quotePrefix="0" xfId="0"/>
    <xf numFmtId="167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Ingresos y gastos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'Resumen'!B14</f>
            </strRef>
          </tx>
          <spPr>
            <a:solidFill>
              <a:srgbClr val="2A78D6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'Resumen'!$A$15:$A$26</f>
            </numRef>
          </cat>
          <val>
            <numRef>
              <f>'Resumen'!$B$15:$B$26</f>
            </numRef>
          </val>
        </ser>
        <ser>
          <idx val="1"/>
          <order val="1"/>
          <tx>
            <strRef>
              <f>'Resumen'!C14</f>
            </strRef>
          </tx>
          <spPr>
            <a:solidFill>
              <a:srgbClr val="EB6834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'Resumen'!$A$15:$A$26</f>
            </numRef>
          </cat>
          <val>
            <numRef>
              <f>'Resumen'!$C$15:$C$26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Saldo de caja al cierre de cada mes</a:t>
            </a:r>
          </a:p>
        </rich>
      </tx>
    </title>
    <plotArea>
      <lineChart>
        <grouping val="standard"/>
        <ser>
          <idx val="0"/>
          <order val="0"/>
          <tx>
            <strRef>
              <f>'Resumen'!G14</f>
            </strRef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circle"/>
            <size val="7"/>
            <spPr>
              <a:solidFill>
                <a:srgbClr val="2A78D6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'Resumen'!$A$15:$A$26</f>
            </numRef>
          </cat>
          <val>
            <numRef>
              <f>'Resumen'!$G$15:$G$26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14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33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D6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62" customWidth="1" min="3" max="3"/>
    <col width="22" customWidth="1" min="4" max="4"/>
    <col width="4" customWidth="1" min="5" max="5"/>
    <col width="10" customWidth="1" min="6" max="6"/>
  </cols>
  <sheetData>
    <row r="2" ht="30" customHeight="1">
      <c r="B2" s="1" t="inlineStr">
        <is>
          <t>Finanzas GM Growth Partners</t>
        </is>
      </c>
    </row>
    <row r="3">
      <c r="B3" s="2" t="inlineStr">
        <is>
          <t>Entradas, salidas, impuestos mes a mes y retiros — en un solo archivo.</t>
        </is>
      </c>
    </row>
    <row r="5">
      <c r="B5" s="3" t="inlineStr">
        <is>
          <t>Cómo funciona</t>
        </is>
      </c>
    </row>
    <row r="6">
      <c r="B6" s="4" t="inlineStr">
        <is>
          <t>Escribes en tres hojas — Ingresos, Gastos y Retiros — y todo lo demás se calcula solo. No hay que tocar ninguna fórmula.</t>
        </is>
      </c>
    </row>
    <row r="7"/>
    <row r="9">
      <c r="B9" s="3" t="inlineStr">
        <is>
          <t>Los colores te dicen qué tocar</t>
        </is>
      </c>
    </row>
    <row r="10">
      <c r="B10" s="5" t="inlineStr">
        <is>
          <t>Azul sobre fondo amarillo</t>
        </is>
      </c>
      <c r="C10" s="6" t="inlineStr">
        <is>
          <t>lo escribes tú</t>
        </is>
      </c>
    </row>
    <row r="11">
      <c r="B11" s="7" t="inlineStr">
        <is>
          <t>Negro</t>
        </is>
      </c>
      <c r="C11" s="6" t="inlineStr">
        <is>
          <t>fórmula de la misma hoja — no la toques</t>
        </is>
      </c>
    </row>
    <row r="12">
      <c r="B12" s="8" t="inlineStr">
        <is>
          <t>Verde</t>
        </is>
      </c>
      <c r="C12" s="6" t="inlineStr">
        <is>
          <t>trae un dato de otra hoja — no la toques</t>
        </is>
      </c>
    </row>
    <row r="14">
      <c r="B14" s="3" t="inlineStr">
        <is>
          <t>Las 8 hojas</t>
        </is>
      </c>
    </row>
    <row r="15" ht="30" customHeight="1">
      <c r="B15" s="9" t="inlineStr">
        <is>
          <t>Hoja</t>
        </is>
      </c>
      <c r="C15" s="9" t="inlineStr">
        <is>
          <t>Para qué sirve</t>
        </is>
      </c>
      <c r="D15" s="9" t="inlineStr">
        <is>
          <t>Qué haces ahí</t>
        </is>
      </c>
    </row>
    <row r="16">
      <c r="B16" s="10" t="inlineStr">
        <is>
          <t>Resumen</t>
        </is>
      </c>
      <c r="C16" s="11" t="inlineStr">
        <is>
          <t>El año de un vistazo: seis números, la tabla mes a mes y dos gráficos.</t>
        </is>
      </c>
      <c r="D16" s="12" t="inlineStr">
        <is>
          <t>Sólo mirar</t>
        </is>
      </c>
    </row>
    <row r="17">
      <c r="B17" s="10" t="inlineStr">
        <is>
          <t>Ingresos</t>
        </is>
      </c>
      <c r="C17" s="11" t="inlineStr">
        <is>
          <t>Cada factura o boleta que emites.</t>
        </is>
      </c>
      <c r="D17" s="13" t="inlineStr">
        <is>
          <t>ESCRIBES ACÁ</t>
        </is>
      </c>
    </row>
    <row r="18">
      <c r="B18" s="10" t="inlineStr">
        <is>
          <t>Gastos</t>
        </is>
      </c>
      <c r="C18" s="11" t="inlineStr">
        <is>
          <t>Cada documento que recibes y pagas.</t>
        </is>
      </c>
      <c r="D18" s="13" t="inlineStr">
        <is>
          <t>ESCRIBES ACÁ</t>
        </is>
      </c>
    </row>
    <row r="19">
      <c r="B19" s="10" t="inlineStr">
        <is>
          <t>Retiros</t>
        </is>
      </c>
      <c r="C19" s="11" t="inlineStr">
        <is>
          <t>Cada giro de utilidades a tu cuenta personal, y qué impuesto te va a costar.</t>
        </is>
      </c>
      <c r="D19" s="13" t="inlineStr">
        <is>
          <t>ESCRIBES ACÁ</t>
        </is>
      </c>
    </row>
    <row r="20">
      <c r="B20" s="10" t="inlineStr">
        <is>
          <t>Mensual</t>
        </is>
      </c>
      <c r="C20" s="11" t="inlineStr">
        <is>
          <t>Tu F29 mes a mes: IVA, PPM y retenciones.</t>
        </is>
      </c>
      <c r="D20" s="12" t="inlineStr">
        <is>
          <t>Sólo mirar</t>
        </is>
      </c>
    </row>
    <row r="21">
      <c r="B21" s="10" t="inlineStr">
        <is>
          <t>Renta</t>
        </is>
      </c>
      <c r="C21" s="11" t="inlineStr">
        <is>
          <t>El impuesto anual de la empresa y qué utilidad queda.</t>
        </is>
      </c>
      <c r="D21" s="12" t="inlineStr">
        <is>
          <t>Sólo mirar</t>
        </is>
      </c>
    </row>
    <row r="22">
      <c r="B22" s="10" t="inlineStr">
        <is>
          <t>Flujo</t>
        </is>
      </c>
      <c r="C22" s="11" t="inlineStr">
        <is>
          <t>Caja mes a mes: con qué cuentas de verdad.</t>
        </is>
      </c>
      <c r="D22" s="12" t="inlineStr">
        <is>
          <t>Sólo mirar</t>
        </is>
      </c>
    </row>
    <row r="23">
      <c r="B23" s="10" t="inlineStr">
        <is>
          <t>Parámetros</t>
        </is>
      </c>
      <c r="C23" s="11" t="inlineStr">
        <is>
          <t>Tasas, UTM, listas y saldos iniciales.</t>
        </is>
      </c>
      <c r="D23" s="12" t="inlineStr">
        <is>
          <t>Ajustas 1 vez al año</t>
        </is>
      </c>
    </row>
    <row r="26">
      <c r="B26" s="3" t="inlineStr">
        <is>
          <t>Cada mes, en 10 minutos</t>
        </is>
      </c>
    </row>
    <row r="27" ht="26" customHeight="1">
      <c r="B27" s="14" t="inlineStr">
        <is>
          <t>1.</t>
        </is>
      </c>
      <c r="C27" s="4" t="inlineStr">
        <is>
          <t>Carga en Ingresos las facturas que emitiste, con su fecha de emisión.</t>
        </is>
      </c>
    </row>
    <row r="28" ht="26" customHeight="1">
      <c r="B28" s="14" t="inlineStr">
        <is>
          <t>2.</t>
        </is>
      </c>
      <c r="C28" s="4" t="inlineStr">
        <is>
          <t>Cuando un cliente te paga, vuelve a esa fila y llena «Fecha de pago» y cambia el estado a Pagada.</t>
        </is>
      </c>
    </row>
    <row r="29" ht="26" customHeight="1">
      <c r="B29" s="14" t="inlineStr">
        <is>
          <t>3.</t>
        </is>
      </c>
      <c r="C29" s="4" t="inlineStr">
        <is>
          <t>Carga en Gastos todo documento recibido: escribe el monto tal como viene y marca si trae IVA adentro.</t>
        </is>
      </c>
    </row>
    <row r="30" ht="26" customHeight="1">
      <c r="B30" s="14" t="inlineStr">
        <is>
          <t>4.</t>
        </is>
      </c>
      <c r="C30" s="4" t="inlineStr">
        <is>
          <t>Anota en Retiros lo que sacaste a tu cuenta personal.</t>
        </is>
      </c>
    </row>
    <row r="31" ht="26" customHeight="1">
      <c r="B31" s="14" t="inlineStr">
        <is>
          <t>5.</t>
        </is>
      </c>
      <c r="C31" s="4" t="inlineStr">
        <is>
          <t>Abre Mensual, busca el mes y mira la columna «TOTAL F29 del mes»: eso declaras y pagas hasta el día 20.</t>
        </is>
      </c>
    </row>
    <row r="32" ht="26" customHeight="1">
      <c r="B32" s="14" t="inlineStr">
        <is>
          <t>6.</t>
        </is>
      </c>
      <c r="C32" s="4" t="inlineStr">
        <is>
          <t>Mira Flujo: si algún mes que viene queda en rojo, ya lo sabes con anticipación.</t>
        </is>
      </c>
    </row>
    <row r="35">
      <c r="B35" s="3" t="inlineStr">
        <is>
          <t>Una vez al año</t>
        </is>
      </c>
    </row>
    <row r="36" ht="26" customHeight="1">
      <c r="B36" s="14" t="inlineStr">
        <is>
          <t>1.</t>
        </is>
      </c>
      <c r="C36" s="4" t="inlineStr">
        <is>
          <t>En enero: actualiza las tasas de Parámetros §2 (cambian casi todos los años) y los valores de UTM.</t>
        </is>
      </c>
    </row>
    <row r="37" ht="26" customHeight="1">
      <c r="B37" s="14" t="inlineStr">
        <is>
          <t>2.</t>
        </is>
      </c>
      <c r="C37" s="4" t="inlineStr">
        <is>
          <t>En enero: copia el saldo final de caja de diciembre al «Caja + banco al 1 de enero» del archivo nuevo, y el remanente de crédito fiscal si quedó.</t>
        </is>
      </c>
    </row>
    <row r="38" ht="26" customHeight="1">
      <c r="B38" s="14" t="inlineStr">
        <is>
          <t>3.</t>
        </is>
      </c>
      <c r="C38" s="4" t="inlineStr">
        <is>
          <t>En marzo-abril: la hoja Renta te dice cuánto sale la Operación Renta de la empresa.</t>
        </is>
      </c>
    </row>
    <row r="39" ht="26" customHeight="1">
      <c r="B39" s="14" t="inlineStr">
        <is>
          <t>4.</t>
        </is>
      </c>
      <c r="C39" s="4" t="inlineStr">
        <is>
          <t>En marzo-abril: la hoja Retiros te dice cuánto te va a cobrar a TI el Global Complementario por lo que retiraste.</t>
        </is>
      </c>
    </row>
    <row r="40" ht="26" customHeight="1">
      <c r="B40" s="14" t="inlineStr">
        <is>
          <t>5.</t>
        </is>
      </c>
      <c r="C40" s="4" t="inlineStr">
        <is>
          <t>Para llevar otro año: duplica el archivo completo y cambia el «Año de trabajo» en Parámetros.</t>
        </is>
      </c>
    </row>
    <row r="43">
      <c r="B43" s="3" t="inlineStr">
        <is>
          <t>Cuatro cosas que conviene tener claras</t>
        </is>
      </c>
    </row>
    <row r="44">
      <c r="B44" s="15" t="inlineStr">
        <is>
          <t>Base caja, no devengado</t>
        </is>
      </c>
    </row>
    <row r="45" ht="26" customHeight="1">
      <c r="B45" s="4" t="inlineStr">
        <is>
          <t>El régimen Pro Pyme paga impuesto sobre lo que COBRASTE, no sobre lo que facturaste. Por eso cada ingreso lleva dos fechas: la de emisión (manda para el IVA) y la de pago (manda para la renta y el flujo). Llenar sólo una deja la mitad del libro en cero.</t>
        </is>
      </c>
    </row>
    <row r="46" ht="26" customHeight="1"/>
    <row r="48">
      <c r="B48" s="15" t="inlineStr">
        <is>
          <t>El IVA no es tuyo</t>
        </is>
      </c>
    </row>
    <row r="49" ht="26" customHeight="1">
      <c r="B49" s="4" t="inlineStr">
        <is>
          <t>El 19% que le cobras al cliente es plata del SII que pasa por tu cuenta. Si la miras como ingreso, en el F29 te va a faltar. El «Resultado» del Resumen ya viene neto de IVA, a propósito.</t>
        </is>
      </c>
    </row>
    <row r="50" ht="26" customHeight="1"/>
    <row r="52">
      <c r="B52" s="15" t="inlineStr">
        <is>
          <t>Un retiro no es un gasto</t>
        </is>
      </c>
    </row>
    <row r="53" ht="26" customHeight="1">
      <c r="B53" s="4" t="inlineStr">
        <is>
          <t>Sacar plata a tu cuenta personal no baja el impuesto de la empresa: es utilidad repartida y encima paga tu Global Complementario. Por eso los retiros tienen hoja propia y no aparecen en Gastos.</t>
        </is>
      </c>
    </row>
    <row r="54" ht="26" customHeight="1"/>
    <row r="56">
      <c r="B56" s="15" t="inlineStr">
        <is>
          <t>Esto ordena, no reemplaza al contador</t>
        </is>
      </c>
    </row>
    <row r="57" ht="26" customHeight="1">
      <c r="B57" s="4" t="inlineStr">
        <is>
          <t>Es una herramienta de gestión para que sepas dónde estás parado cualquier día del mes. La declaración oficial —con corrección monetaria, depreciación y arrastre de pérdidas— la firma tu contador.</t>
        </is>
      </c>
    </row>
    <row r="58" ht="26" customHeight="1"/>
    <row r="60">
      <c r="B60" s="16" t="inlineStr">
        <is>
          <t>Tasas verificadas en agosto de 2026 contra la Circular SII N°53/2025 y la Ley 21.755. Son transitorias: revísalas cada enero en Parámetros §2.</t>
        </is>
      </c>
    </row>
    <row r="61"/>
  </sheetData>
  <mergeCells count="29">
    <mergeCell ref="B14:D14"/>
    <mergeCell ref="C30:D30"/>
    <mergeCell ref="B48:D48"/>
    <mergeCell ref="B45:D46"/>
    <mergeCell ref="B44:D44"/>
    <mergeCell ref="C29:D29"/>
    <mergeCell ref="B9:D9"/>
    <mergeCell ref="C40:D40"/>
    <mergeCell ref="C31:D31"/>
    <mergeCell ref="B5:D5"/>
    <mergeCell ref="C27:D27"/>
    <mergeCell ref="B35:D35"/>
    <mergeCell ref="B57:D58"/>
    <mergeCell ref="B26:D26"/>
    <mergeCell ref="C36:D36"/>
    <mergeCell ref="B60:D61"/>
    <mergeCell ref="C39:D39"/>
    <mergeCell ref="B3:D3"/>
    <mergeCell ref="B6:D7"/>
    <mergeCell ref="C32:D32"/>
    <mergeCell ref="C38:D38"/>
    <mergeCell ref="B53:D54"/>
    <mergeCell ref="C37:D37"/>
    <mergeCell ref="B49:D50"/>
    <mergeCell ref="B56:D56"/>
    <mergeCell ref="C28:D28"/>
    <mergeCell ref="B52:D52"/>
    <mergeCell ref="B43:D4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O3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6" customHeight="1">
      <c r="A1" s="17" t="inlineStr">
        <is>
          <t>Resumen del año</t>
        </is>
      </c>
    </row>
    <row r="2">
      <c r="A2" s="2">
        <f>Parámetros!$B$7&amp;"  ·  año "&amp;Parámetros!$B$10</f>
        <v/>
      </c>
    </row>
    <row r="5">
      <c r="A5" s="18" t="inlineStr">
        <is>
          <t>INGRESOS COBRADOS</t>
        </is>
      </c>
      <c r="B5" s="19" t="n"/>
      <c r="C5" s="19" t="n"/>
      <c r="E5" s="18" t="inlineStr">
        <is>
          <t>GASTOS PAGADOS</t>
        </is>
      </c>
      <c r="F5" s="19" t="n"/>
      <c r="G5" s="19" t="n"/>
      <c r="I5" s="18" t="inlineStr">
        <is>
          <t>UTILIDAD ANTES DE IMPUESTO</t>
        </is>
      </c>
      <c r="J5" s="19" t="n"/>
      <c r="K5" s="19" t="n"/>
    </row>
    <row r="6" ht="26" customHeight="1">
      <c r="A6" s="20">
        <f>Renta!$C$7</f>
        <v/>
      </c>
      <c r="B6" s="19" t="n"/>
      <c r="C6" s="19" t="n"/>
      <c r="E6" s="20">
        <f>-Renta!$C$8</f>
        <v/>
      </c>
      <c r="F6" s="19" t="n"/>
      <c r="G6" s="19" t="n"/>
      <c r="I6" s="20">
        <f>Renta!$C$9</f>
        <v/>
      </c>
      <c r="J6" s="19" t="n"/>
      <c r="K6" s="19" t="n"/>
    </row>
    <row r="7">
      <c r="A7" s="21" t="inlineStr">
        <is>
          <t>Facturado y percibido en el año</t>
        </is>
      </c>
      <c r="B7" s="19" t="n"/>
      <c r="C7" s="19" t="n"/>
      <c r="E7" s="21" t="inlineStr">
        <is>
          <t>Sólo lo aceptado por el SII</t>
        </is>
      </c>
      <c r="F7" s="19" t="n"/>
      <c r="G7" s="19" t="n"/>
      <c r="I7" s="21" t="inlineStr">
        <is>
          <t>Ingresos menos gastos</t>
        </is>
      </c>
      <c r="J7" s="19" t="n"/>
      <c r="K7" s="19" t="n"/>
    </row>
    <row r="10">
      <c r="A10" s="18" t="inlineStr">
        <is>
          <t>IMPUESTO A LA RENTA</t>
        </is>
      </c>
      <c r="B10" s="19" t="n"/>
      <c r="C10" s="19" t="n"/>
      <c r="E10" s="18" t="inlineStr">
        <is>
          <t>RETIRADO A TU CUENTA</t>
        </is>
      </c>
      <c r="F10" s="19" t="n"/>
      <c r="G10" s="19" t="n"/>
      <c r="I10" s="18" t="inlineStr">
        <is>
          <t>CAJA AL 31 DE DICIEMBRE</t>
        </is>
      </c>
      <c r="J10" s="19" t="n"/>
      <c r="K10" s="19" t="n"/>
    </row>
    <row r="11" ht="26" customHeight="1">
      <c r="A11" s="20">
        <f>Renta!$C$12</f>
        <v/>
      </c>
      <c r="B11" s="19" t="n"/>
      <c r="C11" s="19" t="n"/>
      <c r="E11" s="20">
        <f>SUMIFS(Retiros!$B$8:$B$67,Retiros!$E$8:$E$67,Parámetros!$B$10)</f>
        <v/>
      </c>
      <c r="F11" s="19" t="n"/>
      <c r="G11" s="19" t="n"/>
      <c r="I11" s="20">
        <f>Flujo!$H$19</f>
        <v/>
      </c>
      <c r="J11" s="19" t="n"/>
      <c r="K11" s="19" t="n"/>
    </row>
    <row r="12">
      <c r="A12" s="21" t="inlineStr">
        <is>
          <t>1ª Categoría del año</t>
        </is>
      </c>
      <c r="B12" s="19" t="n"/>
      <c r="C12" s="19" t="n"/>
      <c r="E12" s="21" t="inlineStr">
        <is>
          <t>Giros de utilidades</t>
        </is>
      </c>
      <c r="F12" s="19" t="n"/>
      <c r="G12" s="19" t="n"/>
      <c r="I12" s="21" t="inlineStr">
        <is>
          <t>Saldo proyectado de banco</t>
        </is>
      </c>
      <c r="J12" s="19" t="n"/>
      <c r="K12" s="19" t="n"/>
    </row>
    <row r="13">
      <c r="A13" s="22">
        <f>IFERROR(Renta!$C$9/Renta!$C$7,0)</f>
        <v/>
      </c>
      <c r="B13" s="23" t="inlineStr">
        <is>
          <t>margen neto sobre lo cobrado</t>
        </is>
      </c>
    </row>
    <row r="14" ht="30" customHeight="1">
      <c r="A14" s="9" t="inlineStr">
        <is>
          <t>Mes</t>
        </is>
      </c>
      <c r="B14" s="9" t="inlineStr">
        <is>
          <t>Ingresos</t>
        </is>
      </c>
      <c r="C14" s="9" t="inlineStr">
        <is>
          <t>Gastos</t>
        </is>
      </c>
      <c r="D14" s="9" t="inlineStr">
        <is>
          <t>Resultado</t>
        </is>
      </c>
      <c r="E14" s="9" t="inlineStr">
        <is>
          <t>Impuestos (F29)</t>
        </is>
      </c>
      <c r="F14" s="9" t="inlineStr">
        <is>
          <t>Retiros</t>
        </is>
      </c>
      <c r="G14" s="9" t="inlineStr">
        <is>
          <t>Caja al cierre</t>
        </is>
      </c>
    </row>
    <row r="15">
      <c r="A15" s="11" t="inlineStr">
        <is>
          <t>Enero</t>
        </is>
      </c>
      <c r="B15" s="24">
        <f>Mensual!$K$8</f>
        <v/>
      </c>
      <c r="C15" s="25">
        <f>SUMIFS(Gastos!$M$8:$M$257,Gastos!$U$8:$U$257,Parámetros!$B$10,Gastos!$V$8:$V$257,1)-SUMIFS(Gastos!$K$8:$K$257,Gastos!$U$8:$U$257,Parámetros!$B$10,Gastos!$V$8:$V$257,1)</f>
        <v/>
      </c>
      <c r="D15" s="26">
        <f>$B15-$C15</f>
        <v/>
      </c>
      <c r="E15" s="24">
        <f>Mensual!$N$8</f>
        <v/>
      </c>
      <c r="F15" s="24">
        <f>-Flujo!$G$8</f>
        <v/>
      </c>
      <c r="G15" s="24">
        <f>Flujo!$H$8</f>
        <v/>
      </c>
    </row>
    <row r="16">
      <c r="A16" s="11" t="inlineStr">
        <is>
          <t>Febrero</t>
        </is>
      </c>
      <c r="B16" s="24">
        <f>Mensual!$K$9</f>
        <v/>
      </c>
      <c r="C16" s="25">
        <f>SUMIFS(Gastos!$M$8:$M$257,Gastos!$U$8:$U$257,Parámetros!$B$10,Gastos!$V$8:$V$257,2)-SUMIFS(Gastos!$K$8:$K$257,Gastos!$U$8:$U$257,Parámetros!$B$10,Gastos!$V$8:$V$257,2)</f>
        <v/>
      </c>
      <c r="D16" s="26">
        <f>$B16-$C16</f>
        <v/>
      </c>
      <c r="E16" s="24">
        <f>Mensual!$N$9</f>
        <v/>
      </c>
      <c r="F16" s="24">
        <f>-Flujo!$G$9</f>
        <v/>
      </c>
      <c r="G16" s="24">
        <f>Flujo!$H$9</f>
        <v/>
      </c>
    </row>
    <row r="17">
      <c r="A17" s="11" t="inlineStr">
        <is>
          <t>Marzo</t>
        </is>
      </c>
      <c r="B17" s="24">
        <f>Mensual!$K$10</f>
        <v/>
      </c>
      <c r="C17" s="25">
        <f>SUMIFS(Gastos!$M$8:$M$257,Gastos!$U$8:$U$257,Parámetros!$B$10,Gastos!$V$8:$V$257,3)-SUMIFS(Gastos!$K$8:$K$257,Gastos!$U$8:$U$257,Parámetros!$B$10,Gastos!$V$8:$V$257,3)</f>
        <v/>
      </c>
      <c r="D17" s="26">
        <f>$B17-$C17</f>
        <v/>
      </c>
      <c r="E17" s="24">
        <f>Mensual!$N$10</f>
        <v/>
      </c>
      <c r="F17" s="24">
        <f>-Flujo!$G$10</f>
        <v/>
      </c>
      <c r="G17" s="24">
        <f>Flujo!$H$10</f>
        <v/>
      </c>
    </row>
    <row r="18">
      <c r="A18" s="11" t="inlineStr">
        <is>
          <t>Abril</t>
        </is>
      </c>
      <c r="B18" s="24">
        <f>Mensual!$K$11</f>
        <v/>
      </c>
      <c r="C18" s="25">
        <f>SUMIFS(Gastos!$M$8:$M$257,Gastos!$U$8:$U$257,Parámetros!$B$10,Gastos!$V$8:$V$257,4)-SUMIFS(Gastos!$K$8:$K$257,Gastos!$U$8:$U$257,Parámetros!$B$10,Gastos!$V$8:$V$257,4)</f>
        <v/>
      </c>
      <c r="D18" s="26">
        <f>$B18-$C18</f>
        <v/>
      </c>
      <c r="E18" s="24">
        <f>Mensual!$N$11</f>
        <v/>
      </c>
      <c r="F18" s="24">
        <f>-Flujo!$G$11</f>
        <v/>
      </c>
      <c r="G18" s="24">
        <f>Flujo!$H$11</f>
        <v/>
      </c>
    </row>
    <row r="19">
      <c r="A19" s="11" t="inlineStr">
        <is>
          <t>Mayo</t>
        </is>
      </c>
      <c r="B19" s="24">
        <f>Mensual!$K$12</f>
        <v/>
      </c>
      <c r="C19" s="25">
        <f>SUMIFS(Gastos!$M$8:$M$257,Gastos!$U$8:$U$257,Parámetros!$B$10,Gastos!$V$8:$V$257,5)-SUMIFS(Gastos!$K$8:$K$257,Gastos!$U$8:$U$257,Parámetros!$B$10,Gastos!$V$8:$V$257,5)</f>
        <v/>
      </c>
      <c r="D19" s="26">
        <f>$B19-$C19</f>
        <v/>
      </c>
      <c r="E19" s="24">
        <f>Mensual!$N$12</f>
        <v/>
      </c>
      <c r="F19" s="24">
        <f>-Flujo!$G$12</f>
        <v/>
      </c>
      <c r="G19" s="24">
        <f>Flujo!$H$12</f>
        <v/>
      </c>
    </row>
    <row r="20">
      <c r="A20" s="11" t="inlineStr">
        <is>
          <t>Junio</t>
        </is>
      </c>
      <c r="B20" s="24">
        <f>Mensual!$K$13</f>
        <v/>
      </c>
      <c r="C20" s="25">
        <f>SUMIFS(Gastos!$M$8:$M$257,Gastos!$U$8:$U$257,Parámetros!$B$10,Gastos!$V$8:$V$257,6)-SUMIFS(Gastos!$K$8:$K$257,Gastos!$U$8:$U$257,Parámetros!$B$10,Gastos!$V$8:$V$257,6)</f>
        <v/>
      </c>
      <c r="D20" s="26">
        <f>$B20-$C20</f>
        <v/>
      </c>
      <c r="E20" s="24">
        <f>Mensual!$N$13</f>
        <v/>
      </c>
      <c r="F20" s="24">
        <f>-Flujo!$G$13</f>
        <v/>
      </c>
      <c r="G20" s="24">
        <f>Flujo!$H$13</f>
        <v/>
      </c>
    </row>
    <row r="21">
      <c r="A21" s="11" t="inlineStr">
        <is>
          <t>Julio</t>
        </is>
      </c>
      <c r="B21" s="24">
        <f>Mensual!$K$14</f>
        <v/>
      </c>
      <c r="C21" s="25">
        <f>SUMIFS(Gastos!$M$8:$M$257,Gastos!$U$8:$U$257,Parámetros!$B$10,Gastos!$V$8:$V$257,7)-SUMIFS(Gastos!$K$8:$K$257,Gastos!$U$8:$U$257,Parámetros!$B$10,Gastos!$V$8:$V$257,7)</f>
        <v/>
      </c>
      <c r="D21" s="26">
        <f>$B21-$C21</f>
        <v/>
      </c>
      <c r="E21" s="24">
        <f>Mensual!$N$14</f>
        <v/>
      </c>
      <c r="F21" s="24">
        <f>-Flujo!$G$14</f>
        <v/>
      </c>
      <c r="G21" s="24">
        <f>Flujo!$H$14</f>
        <v/>
      </c>
    </row>
    <row r="22">
      <c r="A22" s="11" t="inlineStr">
        <is>
          <t>Agosto</t>
        </is>
      </c>
      <c r="B22" s="24">
        <f>Mensual!$K$15</f>
        <v/>
      </c>
      <c r="C22" s="25">
        <f>SUMIFS(Gastos!$M$8:$M$257,Gastos!$U$8:$U$257,Parámetros!$B$10,Gastos!$V$8:$V$257,8)-SUMIFS(Gastos!$K$8:$K$257,Gastos!$U$8:$U$257,Parámetros!$B$10,Gastos!$V$8:$V$257,8)</f>
        <v/>
      </c>
      <c r="D22" s="26">
        <f>$B22-$C22</f>
        <v/>
      </c>
      <c r="E22" s="24">
        <f>Mensual!$N$15</f>
        <v/>
      </c>
      <c r="F22" s="24">
        <f>-Flujo!$G$15</f>
        <v/>
      </c>
      <c r="G22" s="24">
        <f>Flujo!$H$15</f>
        <v/>
      </c>
    </row>
    <row r="23">
      <c r="A23" s="11" t="inlineStr">
        <is>
          <t>Septiembre</t>
        </is>
      </c>
      <c r="B23" s="24">
        <f>Mensual!$K$16</f>
        <v/>
      </c>
      <c r="C23" s="25">
        <f>SUMIFS(Gastos!$M$8:$M$257,Gastos!$U$8:$U$257,Parámetros!$B$10,Gastos!$V$8:$V$257,9)-SUMIFS(Gastos!$K$8:$K$257,Gastos!$U$8:$U$257,Parámetros!$B$10,Gastos!$V$8:$V$257,9)</f>
        <v/>
      </c>
      <c r="D23" s="26">
        <f>$B23-$C23</f>
        <v/>
      </c>
      <c r="E23" s="24">
        <f>Mensual!$N$16</f>
        <v/>
      </c>
      <c r="F23" s="24">
        <f>-Flujo!$G$16</f>
        <v/>
      </c>
      <c r="G23" s="24">
        <f>Flujo!$H$16</f>
        <v/>
      </c>
    </row>
    <row r="24">
      <c r="A24" s="11" t="inlineStr">
        <is>
          <t>Octubre</t>
        </is>
      </c>
      <c r="B24" s="24">
        <f>Mensual!$K$17</f>
        <v/>
      </c>
      <c r="C24" s="25">
        <f>SUMIFS(Gastos!$M$8:$M$257,Gastos!$U$8:$U$257,Parámetros!$B$10,Gastos!$V$8:$V$257,10)-SUMIFS(Gastos!$K$8:$K$257,Gastos!$U$8:$U$257,Parámetros!$B$10,Gastos!$V$8:$V$257,10)</f>
        <v/>
      </c>
      <c r="D24" s="26">
        <f>$B24-$C24</f>
        <v/>
      </c>
      <c r="E24" s="24">
        <f>Mensual!$N$17</f>
        <v/>
      </c>
      <c r="F24" s="24">
        <f>-Flujo!$G$17</f>
        <v/>
      </c>
      <c r="G24" s="24">
        <f>Flujo!$H$17</f>
        <v/>
      </c>
    </row>
    <row r="25">
      <c r="A25" s="11" t="inlineStr">
        <is>
          <t>Noviembre</t>
        </is>
      </c>
      <c r="B25" s="24">
        <f>Mensual!$K$18</f>
        <v/>
      </c>
      <c r="C25" s="25">
        <f>SUMIFS(Gastos!$M$8:$M$257,Gastos!$U$8:$U$257,Parámetros!$B$10,Gastos!$V$8:$V$257,11)-SUMIFS(Gastos!$K$8:$K$257,Gastos!$U$8:$U$257,Parámetros!$B$10,Gastos!$V$8:$V$257,11)</f>
        <v/>
      </c>
      <c r="D25" s="26">
        <f>$B25-$C25</f>
        <v/>
      </c>
      <c r="E25" s="24">
        <f>Mensual!$N$18</f>
        <v/>
      </c>
      <c r="F25" s="24">
        <f>-Flujo!$G$18</f>
        <v/>
      </c>
      <c r="G25" s="24">
        <f>Flujo!$H$18</f>
        <v/>
      </c>
    </row>
    <row r="26">
      <c r="A26" s="11" t="inlineStr">
        <is>
          <t>Diciembre</t>
        </is>
      </c>
      <c r="B26" s="24">
        <f>Mensual!$K$19</f>
        <v/>
      </c>
      <c r="C26" s="25">
        <f>SUMIFS(Gastos!$M$8:$M$257,Gastos!$U$8:$U$257,Parámetros!$B$10,Gastos!$V$8:$V$257,12)-SUMIFS(Gastos!$K$8:$K$257,Gastos!$U$8:$U$257,Parámetros!$B$10,Gastos!$V$8:$V$257,12)</f>
        <v/>
      </c>
      <c r="D26" s="26">
        <f>$B26-$C26</f>
        <v/>
      </c>
      <c r="E26" s="24">
        <f>Mensual!$N$19</f>
        <v/>
      </c>
      <c r="F26" s="24">
        <f>-Flujo!$G$19</f>
        <v/>
      </c>
      <c r="G26" s="24">
        <f>Flujo!$H$19</f>
        <v/>
      </c>
    </row>
    <row r="27">
      <c r="A27" s="27" t="inlineStr">
        <is>
          <t>TOTAL</t>
        </is>
      </c>
      <c r="B27" s="28">
        <f>SUM(B15:B26)</f>
        <v/>
      </c>
      <c r="C27" s="28">
        <f>SUM(C15:C26)</f>
        <v/>
      </c>
      <c r="D27" s="28">
        <f>SUM(D15:D26)</f>
        <v/>
      </c>
      <c r="E27" s="28">
        <f>SUM(E15:E26)</f>
        <v/>
      </c>
      <c r="F27" s="28">
        <f>SUM(F15:F26)</f>
        <v/>
      </c>
      <c r="G27" s="28">
        <f>G26</f>
        <v/>
      </c>
    </row>
    <row r="29" ht="28" customHeight="1">
      <c r="A29" s="16" t="inlineStr">
        <is>
          <t>Ingresos y gastos van por fecha de PAGO: es la plata que se movió, no la que facturaste. «Resultado» es utilidad de gestión, antes de impuesto a la renta.</t>
        </is>
      </c>
    </row>
    <row r="31">
      <c r="A31" s="16" t="inlineStr">
        <is>
          <t>Si el resultado es bueno y la caja igual va cayendo, la respuesta casi siempre está en los retiros o en clientes que pagan tarde.</t>
        </is>
      </c>
    </row>
  </sheetData>
  <mergeCells count="23">
    <mergeCell ref="E10:G10"/>
    <mergeCell ref="B13:D13"/>
    <mergeCell ref="I12:K12"/>
    <mergeCell ref="A29:G29"/>
    <mergeCell ref="A12:C12"/>
    <mergeCell ref="E6:G6"/>
    <mergeCell ref="E11:G11"/>
    <mergeCell ref="A5:C5"/>
    <mergeCell ref="A31:G31"/>
    <mergeCell ref="I5:K5"/>
    <mergeCell ref="E7:G7"/>
    <mergeCell ref="A10:C10"/>
    <mergeCell ref="I10:K10"/>
    <mergeCell ref="E12:G12"/>
    <mergeCell ref="I6:K6"/>
    <mergeCell ref="I11:K11"/>
    <mergeCell ref="A11:C11"/>
    <mergeCell ref="E5:G5"/>
    <mergeCell ref="A6:C6"/>
    <mergeCell ref="A1:O1"/>
    <mergeCell ref="A2:G2"/>
    <mergeCell ref="A7:C7"/>
    <mergeCell ref="I7:K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O15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24" customWidth="1" min="4" max="4"/>
    <col width="34" customWidth="1" min="5" max="5"/>
    <col width="14" customWidth="1" min="6" max="6"/>
    <col width="12" customWidth="1" min="7" max="7"/>
    <col width="14" customWidth="1" min="8" max="8"/>
    <col width="18" customWidth="1" min="9" max="9"/>
    <col width="13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6" customHeight="1">
      <c r="A1" s="17" t="inlineStr">
        <is>
          <t>Ingresos</t>
        </is>
      </c>
    </row>
    <row r="2" ht="15" customHeight="1">
      <c r="A2" s="29" t="inlineStr">
        <is>
          <t>Una fila por documento que EMITES. El IVA se declara con la fecha de emisión; la plata entra con la fecha de pago — por eso van dos fechas.</t>
        </is>
      </c>
    </row>
    <row r="4">
      <c r="A4" s="30" t="inlineStr">
        <is>
          <t>Azul = lo escribes tú</t>
        </is>
      </c>
      <c r="D4" s="31" t="inlineStr">
        <is>
          <t>Negro = fórmula, no tocar</t>
        </is>
      </c>
      <c r="G4" s="32" t="inlineStr">
        <is>
          <t>Verde = viene de otra hoja</t>
        </is>
      </c>
    </row>
    <row r="5" ht="26" customHeight="1">
      <c r="A5" s="16" t="inlineStr">
        <is>
          <t>Las 3 primeras filas son un ejemplo del formato esperado: bórralas cuando empieces a cargar lo tuyo. Para anular o rebajar una factura ya emitida, agrega una fila con tipo «Nota de crédito emitida» y el monto en NEGATIVO.</t>
        </is>
      </c>
    </row>
    <row r="7" ht="30" customHeight="1">
      <c r="A7" s="9" t="inlineStr">
        <is>
          <t>Fecha emisión</t>
        </is>
      </c>
      <c r="B7" s="9" t="inlineStr">
        <is>
          <t>N° documento</t>
        </is>
      </c>
      <c r="C7" s="9" t="inlineStr">
        <is>
          <t>Tipo de documento</t>
        </is>
      </c>
      <c r="D7" s="9" t="inlineStr">
        <is>
          <t>Cliente</t>
        </is>
      </c>
      <c r="E7" s="9" t="inlineStr">
        <is>
          <t>Descripción / proyecto</t>
        </is>
      </c>
      <c r="F7" s="9" t="inlineStr">
        <is>
          <t>Neto ($)</t>
        </is>
      </c>
      <c r="G7" s="9" t="inlineStr">
        <is>
          <t>IVA ($)</t>
        </is>
      </c>
      <c r="H7" s="9" t="inlineStr">
        <is>
          <t>Total ($)</t>
        </is>
      </c>
      <c r="I7" s="9" t="inlineStr">
        <is>
          <t>Estado</t>
        </is>
      </c>
      <c r="J7" s="9" t="inlineStr">
        <is>
          <t>Fecha de pago</t>
        </is>
      </c>
      <c r="K7" s="9" t="inlineStr">
        <is>
          <t>Medio de pago</t>
        </is>
      </c>
      <c r="L7" s="9" t="inlineStr">
        <is>
          <t>Año emis.</t>
        </is>
      </c>
      <c r="M7" s="9" t="inlineStr">
        <is>
          <t>Mes emis.</t>
        </is>
      </c>
      <c r="N7" s="9" t="inlineStr">
        <is>
          <t>Año pago</t>
        </is>
      </c>
      <c r="O7" s="9" t="inlineStr">
        <is>
          <t>Mes pago</t>
        </is>
      </c>
    </row>
    <row r="8">
      <c r="A8" s="33" t="n">
        <v>46027</v>
      </c>
      <c r="B8" s="34" t="inlineStr">
        <is>
          <t>F-001</t>
        </is>
      </c>
      <c r="C8" s="34" t="inlineStr">
        <is>
          <t>Factura afecta</t>
        </is>
      </c>
      <c r="D8" s="34" t="inlineStr">
        <is>
          <t>Bike Trust SpA</t>
        </is>
      </c>
      <c r="E8" s="34" t="inlineStr">
        <is>
          <t>Retainer enero · growth + automatización</t>
        </is>
      </c>
      <c r="F8" s="35" t="n">
        <v>1200000</v>
      </c>
      <c r="G8" s="35">
        <f>IF($F8="","",IF(IFERROR(INDEX(Parámetros!$B$64:$B$68,MATCH($C8,Parámetros!$A$64:$A$68,0)),0)=1,ROUND($F8*Parámetros!$B$13,0),0))</f>
        <v/>
      </c>
      <c r="H8" s="35">
        <f>IF($F8="","",$F8+$G8)</f>
        <v/>
      </c>
      <c r="I8" s="34" t="inlineStr">
        <is>
          <t>Pagada</t>
        </is>
      </c>
      <c r="J8" s="33" t="n">
        <v>46050</v>
      </c>
      <c r="K8" s="34" t="inlineStr">
        <is>
          <t>Transferencia</t>
        </is>
      </c>
      <c r="L8" s="36">
        <f>IF($A8="","",YEAR($A8))</f>
        <v/>
      </c>
      <c r="M8" s="36">
        <f>IF($A8="","",MONTH($A8))</f>
        <v/>
      </c>
      <c r="N8" s="36">
        <f>IF($J8="","",YEAR($J8))</f>
        <v/>
      </c>
      <c r="O8" s="36">
        <f>IF($J8="","",MONTH($J8))</f>
        <v/>
      </c>
    </row>
    <row r="9">
      <c r="A9" s="33" t="n">
        <v>46042</v>
      </c>
      <c r="B9" s="34" t="inlineStr">
        <is>
          <t>F-002</t>
        </is>
      </c>
      <c r="C9" s="34" t="inlineStr">
        <is>
          <t>Factura afecta</t>
        </is>
      </c>
      <c r="D9" s="34" t="inlineStr">
        <is>
          <t>Cliente Demo Ltda.</t>
        </is>
      </c>
      <c r="E9" s="34" t="inlineStr">
        <is>
          <t>Proyecto sitio web · hito 1</t>
        </is>
      </c>
      <c r="F9" s="35" t="n">
        <v>850000</v>
      </c>
      <c r="G9" s="35">
        <f>IF($F9="","",IF(IFERROR(INDEX(Parámetros!$B$64:$B$68,MATCH($C9,Parámetros!$A$64:$A$68,0)),0)=1,ROUND($F9*Parámetros!$B$13,0),0))</f>
        <v/>
      </c>
      <c r="H9" s="35">
        <f>IF($F9="","",$F9+$G9)</f>
        <v/>
      </c>
      <c r="I9" s="34" t="inlineStr">
        <is>
          <t>Pagada</t>
        </is>
      </c>
      <c r="J9" s="33" t="n">
        <v>46063</v>
      </c>
      <c r="K9" s="34" t="inlineStr">
        <is>
          <t>Transferencia</t>
        </is>
      </c>
      <c r="L9" s="36">
        <f>IF($A9="","",YEAR($A9))</f>
        <v/>
      </c>
      <c r="M9" s="36">
        <f>IF($A9="","",MONTH($A9))</f>
        <v/>
      </c>
      <c r="N9" s="36">
        <f>IF($J9="","",YEAR($J9))</f>
        <v/>
      </c>
      <c r="O9" s="36">
        <f>IF($J9="","",MONTH($J9))</f>
        <v/>
      </c>
    </row>
    <row r="10">
      <c r="A10" s="33" t="n">
        <v>46056</v>
      </c>
      <c r="B10" s="34" t="inlineStr">
        <is>
          <t>F-003</t>
        </is>
      </c>
      <c r="C10" s="34" t="inlineStr">
        <is>
          <t>Factura de exportación</t>
        </is>
      </c>
      <c r="D10" s="34" t="inlineStr">
        <is>
          <t>Acme Inc. (EE.UU.)</t>
        </is>
      </c>
      <c r="E10" s="34" t="inlineStr">
        <is>
          <t>Consultoría growth · 2 semanas</t>
        </is>
      </c>
      <c r="F10" s="35" t="n">
        <v>1500000</v>
      </c>
      <c r="G10" s="35">
        <f>IF($F10="","",IF(IFERROR(INDEX(Parámetros!$B$64:$B$68,MATCH($C10,Parámetros!$A$64:$A$68,0)),0)=1,ROUND($F10*Parámetros!$B$13,0),0))</f>
        <v/>
      </c>
      <c r="H10" s="35">
        <f>IF($F10="","",$F10+$G10)</f>
        <v/>
      </c>
      <c r="I10" s="34" t="inlineStr">
        <is>
          <t>Pendiente de pago</t>
        </is>
      </c>
      <c r="J10" s="33" t="n"/>
      <c r="K10" s="34" t="n"/>
      <c r="L10" s="36">
        <f>IF($A10="","",YEAR($A10))</f>
        <v/>
      </c>
      <c r="M10" s="36">
        <f>IF($A10="","",MONTH($A10))</f>
        <v/>
      </c>
      <c r="N10" s="36">
        <f>IF($J10="","",YEAR($J10))</f>
        <v/>
      </c>
      <c r="O10" s="36">
        <f>IF($J10="","",MONTH($J10))</f>
        <v/>
      </c>
    </row>
    <row r="11">
      <c r="A11" s="37" t="n"/>
      <c r="B11" s="38" t="n"/>
      <c r="C11" s="38" t="n"/>
      <c r="D11" s="38" t="n"/>
      <c r="E11" s="38" t="n"/>
      <c r="F11" s="39" t="n"/>
      <c r="G11" s="25">
        <f>IF($F11="","",IF(IFERROR(INDEX(Parámetros!$B$64:$B$68,MATCH($C11,Parámetros!$A$64:$A$68,0)),0)=1,ROUND($F11*Parámetros!$B$13,0),0))</f>
        <v/>
      </c>
      <c r="H11" s="25">
        <f>IF($F11="","",$F11+$G11)</f>
        <v/>
      </c>
      <c r="I11" s="38" t="n"/>
      <c r="J11" s="37" t="n"/>
      <c r="K11" s="38" t="n"/>
      <c r="L11" s="40">
        <f>IF($A11="","",YEAR($A11))</f>
        <v/>
      </c>
      <c r="M11" s="40">
        <f>IF($A11="","",MONTH($A11))</f>
        <v/>
      </c>
      <c r="N11" s="40">
        <f>IF($J11="","",YEAR($J11))</f>
        <v/>
      </c>
      <c r="O11" s="40">
        <f>IF($J11="","",MONTH($J11))</f>
        <v/>
      </c>
    </row>
    <row r="12">
      <c r="A12" s="37" t="n"/>
      <c r="B12" s="38" t="n"/>
      <c r="C12" s="38" t="n"/>
      <c r="D12" s="38" t="n"/>
      <c r="E12" s="38" t="n"/>
      <c r="F12" s="39" t="n"/>
      <c r="G12" s="25">
        <f>IF($F12="","",IF(IFERROR(INDEX(Parámetros!$B$64:$B$68,MATCH($C12,Parámetros!$A$64:$A$68,0)),0)=1,ROUND($F12*Parámetros!$B$13,0),0))</f>
        <v/>
      </c>
      <c r="H12" s="25">
        <f>IF($F12="","",$F12+$G12)</f>
        <v/>
      </c>
      <c r="I12" s="38" t="n"/>
      <c r="J12" s="37" t="n"/>
      <c r="K12" s="38" t="n"/>
      <c r="L12" s="40">
        <f>IF($A12="","",YEAR($A12))</f>
        <v/>
      </c>
      <c r="M12" s="40">
        <f>IF($A12="","",MONTH($A12))</f>
        <v/>
      </c>
      <c r="N12" s="40">
        <f>IF($J12="","",YEAR($J12))</f>
        <v/>
      </c>
      <c r="O12" s="40">
        <f>IF($J12="","",MONTH($J12))</f>
        <v/>
      </c>
    </row>
    <row r="13">
      <c r="A13" s="37" t="n"/>
      <c r="B13" s="38" t="n"/>
      <c r="C13" s="38" t="n"/>
      <c r="D13" s="38" t="n"/>
      <c r="E13" s="38" t="n"/>
      <c r="F13" s="39" t="n"/>
      <c r="G13" s="25">
        <f>IF($F13="","",IF(IFERROR(INDEX(Parámetros!$B$64:$B$68,MATCH($C13,Parámetros!$A$64:$A$68,0)),0)=1,ROUND($F13*Parámetros!$B$13,0),0))</f>
        <v/>
      </c>
      <c r="H13" s="25">
        <f>IF($F13="","",$F13+$G13)</f>
        <v/>
      </c>
      <c r="I13" s="38" t="n"/>
      <c r="J13" s="37" t="n"/>
      <c r="K13" s="38" t="n"/>
      <c r="L13" s="40">
        <f>IF($A13="","",YEAR($A13))</f>
        <v/>
      </c>
      <c r="M13" s="40">
        <f>IF($A13="","",MONTH($A13))</f>
        <v/>
      </c>
      <c r="N13" s="40">
        <f>IF($J13="","",YEAR($J13))</f>
        <v/>
      </c>
      <c r="O13" s="40">
        <f>IF($J13="","",MONTH($J13))</f>
        <v/>
      </c>
    </row>
    <row r="14">
      <c r="A14" s="37" t="n"/>
      <c r="B14" s="38" t="n"/>
      <c r="C14" s="38" t="n"/>
      <c r="D14" s="38" t="n"/>
      <c r="E14" s="38" t="n"/>
      <c r="F14" s="39" t="n"/>
      <c r="G14" s="25">
        <f>IF($F14="","",IF(IFERROR(INDEX(Parámetros!$B$64:$B$68,MATCH($C14,Parámetros!$A$64:$A$68,0)),0)=1,ROUND($F14*Parámetros!$B$13,0),0))</f>
        <v/>
      </c>
      <c r="H14" s="25">
        <f>IF($F14="","",$F14+$G14)</f>
        <v/>
      </c>
      <c r="I14" s="38" t="n"/>
      <c r="J14" s="37" t="n"/>
      <c r="K14" s="38" t="n"/>
      <c r="L14" s="40">
        <f>IF($A14="","",YEAR($A14))</f>
        <v/>
      </c>
      <c r="M14" s="40">
        <f>IF($A14="","",MONTH($A14))</f>
        <v/>
      </c>
      <c r="N14" s="40">
        <f>IF($J14="","",YEAR($J14))</f>
        <v/>
      </c>
      <c r="O14" s="40">
        <f>IF($J14="","",MONTH($J14))</f>
        <v/>
      </c>
    </row>
    <row r="15">
      <c r="A15" s="37" t="n"/>
      <c r="B15" s="38" t="n"/>
      <c r="C15" s="38" t="n"/>
      <c r="D15" s="38" t="n"/>
      <c r="E15" s="38" t="n"/>
      <c r="F15" s="39" t="n"/>
      <c r="G15" s="25">
        <f>IF($F15="","",IF(IFERROR(INDEX(Parámetros!$B$64:$B$68,MATCH($C15,Parámetros!$A$64:$A$68,0)),0)=1,ROUND($F15*Parámetros!$B$13,0),0))</f>
        <v/>
      </c>
      <c r="H15" s="25">
        <f>IF($F15="","",$F15+$G15)</f>
        <v/>
      </c>
      <c r="I15" s="38" t="n"/>
      <c r="J15" s="37" t="n"/>
      <c r="K15" s="38" t="n"/>
      <c r="L15" s="40">
        <f>IF($A15="","",YEAR($A15))</f>
        <v/>
      </c>
      <c r="M15" s="40">
        <f>IF($A15="","",MONTH($A15))</f>
        <v/>
      </c>
      <c r="N15" s="40">
        <f>IF($J15="","",YEAR($J15))</f>
        <v/>
      </c>
      <c r="O15" s="40">
        <f>IF($J15="","",MONTH($J15))</f>
        <v/>
      </c>
    </row>
    <row r="16">
      <c r="A16" s="37" t="n"/>
      <c r="B16" s="38" t="n"/>
      <c r="C16" s="38" t="n"/>
      <c r="D16" s="38" t="n"/>
      <c r="E16" s="38" t="n"/>
      <c r="F16" s="39" t="n"/>
      <c r="G16" s="25">
        <f>IF($F16="","",IF(IFERROR(INDEX(Parámetros!$B$64:$B$68,MATCH($C16,Parámetros!$A$64:$A$68,0)),0)=1,ROUND($F16*Parámetros!$B$13,0),0))</f>
        <v/>
      </c>
      <c r="H16" s="25">
        <f>IF($F16="","",$F16+$G16)</f>
        <v/>
      </c>
      <c r="I16" s="38" t="n"/>
      <c r="J16" s="37" t="n"/>
      <c r="K16" s="38" t="n"/>
      <c r="L16" s="40">
        <f>IF($A16="","",YEAR($A16))</f>
        <v/>
      </c>
      <c r="M16" s="40">
        <f>IF($A16="","",MONTH($A16))</f>
        <v/>
      </c>
      <c r="N16" s="40">
        <f>IF($J16="","",YEAR($J16))</f>
        <v/>
      </c>
      <c r="O16" s="40">
        <f>IF($J16="","",MONTH($J16))</f>
        <v/>
      </c>
    </row>
    <row r="17">
      <c r="A17" s="37" t="n"/>
      <c r="B17" s="38" t="n"/>
      <c r="C17" s="38" t="n"/>
      <c r="D17" s="38" t="n"/>
      <c r="E17" s="38" t="n"/>
      <c r="F17" s="39" t="n"/>
      <c r="G17" s="25">
        <f>IF($F17="","",IF(IFERROR(INDEX(Parámetros!$B$64:$B$68,MATCH($C17,Parámetros!$A$64:$A$68,0)),0)=1,ROUND($F17*Parámetros!$B$13,0),0))</f>
        <v/>
      </c>
      <c r="H17" s="25">
        <f>IF($F17="","",$F17+$G17)</f>
        <v/>
      </c>
      <c r="I17" s="38" t="n"/>
      <c r="J17" s="37" t="n"/>
      <c r="K17" s="38" t="n"/>
      <c r="L17" s="40">
        <f>IF($A17="","",YEAR($A17))</f>
        <v/>
      </c>
      <c r="M17" s="40">
        <f>IF($A17="","",MONTH($A17))</f>
        <v/>
      </c>
      <c r="N17" s="40">
        <f>IF($J17="","",YEAR($J17))</f>
        <v/>
      </c>
      <c r="O17" s="40">
        <f>IF($J17="","",MONTH($J17))</f>
        <v/>
      </c>
    </row>
    <row r="18">
      <c r="A18" s="37" t="n"/>
      <c r="B18" s="38" t="n"/>
      <c r="C18" s="38" t="n"/>
      <c r="D18" s="38" t="n"/>
      <c r="E18" s="38" t="n"/>
      <c r="F18" s="39" t="n"/>
      <c r="G18" s="25">
        <f>IF($F18="","",IF(IFERROR(INDEX(Parámetros!$B$64:$B$68,MATCH($C18,Parámetros!$A$64:$A$68,0)),0)=1,ROUND($F18*Parámetros!$B$13,0),0))</f>
        <v/>
      </c>
      <c r="H18" s="25">
        <f>IF($F18="","",$F18+$G18)</f>
        <v/>
      </c>
      <c r="I18" s="38" t="n"/>
      <c r="J18" s="37" t="n"/>
      <c r="K18" s="38" t="n"/>
      <c r="L18" s="40">
        <f>IF($A18="","",YEAR($A18))</f>
        <v/>
      </c>
      <c r="M18" s="40">
        <f>IF($A18="","",MONTH($A18))</f>
        <v/>
      </c>
      <c r="N18" s="40">
        <f>IF($J18="","",YEAR($J18))</f>
        <v/>
      </c>
      <c r="O18" s="40">
        <f>IF($J18="","",MONTH($J18))</f>
        <v/>
      </c>
    </row>
    <row r="19">
      <c r="A19" s="37" t="n"/>
      <c r="B19" s="38" t="n"/>
      <c r="C19" s="38" t="n"/>
      <c r="D19" s="38" t="n"/>
      <c r="E19" s="38" t="n"/>
      <c r="F19" s="39" t="n"/>
      <c r="G19" s="25">
        <f>IF($F19="","",IF(IFERROR(INDEX(Parámetros!$B$64:$B$68,MATCH($C19,Parámetros!$A$64:$A$68,0)),0)=1,ROUND($F19*Parámetros!$B$13,0),0))</f>
        <v/>
      </c>
      <c r="H19" s="25">
        <f>IF($F19="","",$F19+$G19)</f>
        <v/>
      </c>
      <c r="I19" s="38" t="n"/>
      <c r="J19" s="37" t="n"/>
      <c r="K19" s="38" t="n"/>
      <c r="L19" s="40">
        <f>IF($A19="","",YEAR($A19))</f>
        <v/>
      </c>
      <c r="M19" s="40">
        <f>IF($A19="","",MONTH($A19))</f>
        <v/>
      </c>
      <c r="N19" s="40">
        <f>IF($J19="","",YEAR($J19))</f>
        <v/>
      </c>
      <c r="O19" s="40">
        <f>IF($J19="","",MONTH($J19))</f>
        <v/>
      </c>
    </row>
    <row r="20">
      <c r="A20" s="37" t="n"/>
      <c r="B20" s="38" t="n"/>
      <c r="C20" s="38" t="n"/>
      <c r="D20" s="38" t="n"/>
      <c r="E20" s="38" t="n"/>
      <c r="F20" s="39" t="n"/>
      <c r="G20" s="25">
        <f>IF($F20="","",IF(IFERROR(INDEX(Parámetros!$B$64:$B$68,MATCH($C20,Parámetros!$A$64:$A$68,0)),0)=1,ROUND($F20*Parámetros!$B$13,0),0))</f>
        <v/>
      </c>
      <c r="H20" s="25">
        <f>IF($F20="","",$F20+$G20)</f>
        <v/>
      </c>
      <c r="I20" s="38" t="n"/>
      <c r="J20" s="37" t="n"/>
      <c r="K20" s="38" t="n"/>
      <c r="L20" s="40">
        <f>IF($A20="","",YEAR($A20))</f>
        <v/>
      </c>
      <c r="M20" s="40">
        <f>IF($A20="","",MONTH($A20))</f>
        <v/>
      </c>
      <c r="N20" s="40">
        <f>IF($J20="","",YEAR($J20))</f>
        <v/>
      </c>
      <c r="O20" s="40">
        <f>IF($J20="","",MONTH($J20))</f>
        <v/>
      </c>
    </row>
    <row r="21">
      <c r="A21" s="37" t="n"/>
      <c r="B21" s="38" t="n"/>
      <c r="C21" s="38" t="n"/>
      <c r="D21" s="38" t="n"/>
      <c r="E21" s="38" t="n"/>
      <c r="F21" s="39" t="n"/>
      <c r="G21" s="25">
        <f>IF($F21="","",IF(IFERROR(INDEX(Parámetros!$B$64:$B$68,MATCH($C21,Parámetros!$A$64:$A$68,0)),0)=1,ROUND($F21*Parámetros!$B$13,0),0))</f>
        <v/>
      </c>
      <c r="H21" s="25">
        <f>IF($F21="","",$F21+$G21)</f>
        <v/>
      </c>
      <c r="I21" s="38" t="n"/>
      <c r="J21" s="37" t="n"/>
      <c r="K21" s="38" t="n"/>
      <c r="L21" s="40">
        <f>IF($A21="","",YEAR($A21))</f>
        <v/>
      </c>
      <c r="M21" s="40">
        <f>IF($A21="","",MONTH($A21))</f>
        <v/>
      </c>
      <c r="N21" s="40">
        <f>IF($J21="","",YEAR($J21))</f>
        <v/>
      </c>
      <c r="O21" s="40">
        <f>IF($J21="","",MONTH($J21))</f>
        <v/>
      </c>
    </row>
    <row r="22">
      <c r="A22" s="37" t="n"/>
      <c r="B22" s="38" t="n"/>
      <c r="C22" s="38" t="n"/>
      <c r="D22" s="38" t="n"/>
      <c r="E22" s="38" t="n"/>
      <c r="F22" s="39" t="n"/>
      <c r="G22" s="25">
        <f>IF($F22="","",IF(IFERROR(INDEX(Parámetros!$B$64:$B$68,MATCH($C22,Parámetros!$A$64:$A$68,0)),0)=1,ROUND($F22*Parámetros!$B$13,0),0))</f>
        <v/>
      </c>
      <c r="H22" s="25">
        <f>IF($F22="","",$F22+$G22)</f>
        <v/>
      </c>
      <c r="I22" s="38" t="n"/>
      <c r="J22" s="37" t="n"/>
      <c r="K22" s="38" t="n"/>
      <c r="L22" s="40">
        <f>IF($A22="","",YEAR($A22))</f>
        <v/>
      </c>
      <c r="M22" s="40">
        <f>IF($A22="","",MONTH($A22))</f>
        <v/>
      </c>
      <c r="N22" s="40">
        <f>IF($J22="","",YEAR($J22))</f>
        <v/>
      </c>
      <c r="O22" s="40">
        <f>IF($J22="","",MONTH($J22))</f>
        <v/>
      </c>
    </row>
    <row r="23">
      <c r="A23" s="37" t="n"/>
      <c r="B23" s="38" t="n"/>
      <c r="C23" s="38" t="n"/>
      <c r="D23" s="38" t="n"/>
      <c r="E23" s="38" t="n"/>
      <c r="F23" s="39" t="n"/>
      <c r="G23" s="25">
        <f>IF($F23="","",IF(IFERROR(INDEX(Parámetros!$B$64:$B$68,MATCH($C23,Parámetros!$A$64:$A$68,0)),0)=1,ROUND($F23*Parámetros!$B$13,0),0))</f>
        <v/>
      </c>
      <c r="H23" s="25">
        <f>IF($F23="","",$F23+$G23)</f>
        <v/>
      </c>
      <c r="I23" s="38" t="n"/>
      <c r="J23" s="37" t="n"/>
      <c r="K23" s="38" t="n"/>
      <c r="L23" s="40">
        <f>IF($A23="","",YEAR($A23))</f>
        <v/>
      </c>
      <c r="M23" s="40">
        <f>IF($A23="","",MONTH($A23))</f>
        <v/>
      </c>
      <c r="N23" s="40">
        <f>IF($J23="","",YEAR($J23))</f>
        <v/>
      </c>
      <c r="O23" s="40">
        <f>IF($J23="","",MONTH($J23))</f>
        <v/>
      </c>
    </row>
    <row r="24">
      <c r="A24" s="37" t="n"/>
      <c r="B24" s="38" t="n"/>
      <c r="C24" s="38" t="n"/>
      <c r="D24" s="38" t="n"/>
      <c r="E24" s="38" t="n"/>
      <c r="F24" s="39" t="n"/>
      <c r="G24" s="25">
        <f>IF($F24="","",IF(IFERROR(INDEX(Parámetros!$B$64:$B$68,MATCH($C24,Parámetros!$A$64:$A$68,0)),0)=1,ROUND($F24*Parámetros!$B$13,0),0))</f>
        <v/>
      </c>
      <c r="H24" s="25">
        <f>IF($F24="","",$F24+$G24)</f>
        <v/>
      </c>
      <c r="I24" s="38" t="n"/>
      <c r="J24" s="37" t="n"/>
      <c r="K24" s="38" t="n"/>
      <c r="L24" s="40">
        <f>IF($A24="","",YEAR($A24))</f>
        <v/>
      </c>
      <c r="M24" s="40">
        <f>IF($A24="","",MONTH($A24))</f>
        <v/>
      </c>
      <c r="N24" s="40">
        <f>IF($J24="","",YEAR($J24))</f>
        <v/>
      </c>
      <c r="O24" s="40">
        <f>IF($J24="","",MONTH($J24))</f>
        <v/>
      </c>
    </row>
    <row r="25">
      <c r="A25" s="37" t="n"/>
      <c r="B25" s="38" t="n"/>
      <c r="C25" s="38" t="n"/>
      <c r="D25" s="38" t="n"/>
      <c r="E25" s="38" t="n"/>
      <c r="F25" s="39" t="n"/>
      <c r="G25" s="25">
        <f>IF($F25="","",IF(IFERROR(INDEX(Parámetros!$B$64:$B$68,MATCH($C25,Parámetros!$A$64:$A$68,0)),0)=1,ROUND($F25*Parámetros!$B$13,0),0))</f>
        <v/>
      </c>
      <c r="H25" s="25">
        <f>IF($F25="","",$F25+$G25)</f>
        <v/>
      </c>
      <c r="I25" s="38" t="n"/>
      <c r="J25" s="37" t="n"/>
      <c r="K25" s="38" t="n"/>
      <c r="L25" s="40">
        <f>IF($A25="","",YEAR($A25))</f>
        <v/>
      </c>
      <c r="M25" s="40">
        <f>IF($A25="","",MONTH($A25))</f>
        <v/>
      </c>
      <c r="N25" s="40">
        <f>IF($J25="","",YEAR($J25))</f>
        <v/>
      </c>
      <c r="O25" s="40">
        <f>IF($J25="","",MONTH($J25))</f>
        <v/>
      </c>
    </row>
    <row r="26">
      <c r="A26" s="37" t="n"/>
      <c r="B26" s="38" t="n"/>
      <c r="C26" s="38" t="n"/>
      <c r="D26" s="38" t="n"/>
      <c r="E26" s="38" t="n"/>
      <c r="F26" s="39" t="n"/>
      <c r="G26" s="25">
        <f>IF($F26="","",IF(IFERROR(INDEX(Parámetros!$B$64:$B$68,MATCH($C26,Parámetros!$A$64:$A$68,0)),0)=1,ROUND($F26*Parámetros!$B$13,0),0))</f>
        <v/>
      </c>
      <c r="H26" s="25">
        <f>IF($F26="","",$F26+$G26)</f>
        <v/>
      </c>
      <c r="I26" s="38" t="n"/>
      <c r="J26" s="37" t="n"/>
      <c r="K26" s="38" t="n"/>
      <c r="L26" s="40">
        <f>IF($A26="","",YEAR($A26))</f>
        <v/>
      </c>
      <c r="M26" s="40">
        <f>IF($A26="","",MONTH($A26))</f>
        <v/>
      </c>
      <c r="N26" s="40">
        <f>IF($J26="","",YEAR($J26))</f>
        <v/>
      </c>
      <c r="O26" s="40">
        <f>IF($J26="","",MONTH($J26))</f>
        <v/>
      </c>
    </row>
    <row r="27">
      <c r="A27" s="37" t="n"/>
      <c r="B27" s="38" t="n"/>
      <c r="C27" s="38" t="n"/>
      <c r="D27" s="38" t="n"/>
      <c r="E27" s="38" t="n"/>
      <c r="F27" s="39" t="n"/>
      <c r="G27" s="25">
        <f>IF($F27="","",IF(IFERROR(INDEX(Parámetros!$B$64:$B$68,MATCH($C27,Parámetros!$A$64:$A$68,0)),0)=1,ROUND($F27*Parámetros!$B$13,0),0))</f>
        <v/>
      </c>
      <c r="H27" s="25">
        <f>IF($F27="","",$F27+$G27)</f>
        <v/>
      </c>
      <c r="I27" s="38" t="n"/>
      <c r="J27" s="37" t="n"/>
      <c r="K27" s="38" t="n"/>
      <c r="L27" s="40">
        <f>IF($A27="","",YEAR($A27))</f>
        <v/>
      </c>
      <c r="M27" s="40">
        <f>IF($A27="","",MONTH($A27))</f>
        <v/>
      </c>
      <c r="N27" s="40">
        <f>IF($J27="","",YEAR($J27))</f>
        <v/>
      </c>
      <c r="O27" s="40">
        <f>IF($J27="","",MONTH($J27))</f>
        <v/>
      </c>
    </row>
    <row r="28">
      <c r="A28" s="37" t="n"/>
      <c r="B28" s="38" t="n"/>
      <c r="C28" s="38" t="n"/>
      <c r="D28" s="38" t="n"/>
      <c r="E28" s="38" t="n"/>
      <c r="F28" s="39" t="n"/>
      <c r="G28" s="25">
        <f>IF($F28="","",IF(IFERROR(INDEX(Parámetros!$B$64:$B$68,MATCH($C28,Parámetros!$A$64:$A$68,0)),0)=1,ROUND($F28*Parámetros!$B$13,0),0))</f>
        <v/>
      </c>
      <c r="H28" s="25">
        <f>IF($F28="","",$F28+$G28)</f>
        <v/>
      </c>
      <c r="I28" s="38" t="n"/>
      <c r="J28" s="37" t="n"/>
      <c r="K28" s="38" t="n"/>
      <c r="L28" s="40">
        <f>IF($A28="","",YEAR($A28))</f>
        <v/>
      </c>
      <c r="M28" s="40">
        <f>IF($A28="","",MONTH($A28))</f>
        <v/>
      </c>
      <c r="N28" s="40">
        <f>IF($J28="","",YEAR($J28))</f>
        <v/>
      </c>
      <c r="O28" s="40">
        <f>IF($J28="","",MONTH($J28))</f>
        <v/>
      </c>
    </row>
    <row r="29">
      <c r="A29" s="37" t="n"/>
      <c r="B29" s="38" t="n"/>
      <c r="C29" s="38" t="n"/>
      <c r="D29" s="38" t="n"/>
      <c r="E29" s="38" t="n"/>
      <c r="F29" s="39" t="n"/>
      <c r="G29" s="25">
        <f>IF($F29="","",IF(IFERROR(INDEX(Parámetros!$B$64:$B$68,MATCH($C29,Parámetros!$A$64:$A$68,0)),0)=1,ROUND($F29*Parámetros!$B$13,0),0))</f>
        <v/>
      </c>
      <c r="H29" s="25">
        <f>IF($F29="","",$F29+$G29)</f>
        <v/>
      </c>
      <c r="I29" s="38" t="n"/>
      <c r="J29" s="37" t="n"/>
      <c r="K29" s="38" t="n"/>
      <c r="L29" s="40">
        <f>IF($A29="","",YEAR($A29))</f>
        <v/>
      </c>
      <c r="M29" s="40">
        <f>IF($A29="","",MONTH($A29))</f>
        <v/>
      </c>
      <c r="N29" s="40">
        <f>IF($J29="","",YEAR($J29))</f>
        <v/>
      </c>
      <c r="O29" s="40">
        <f>IF($J29="","",MONTH($J29))</f>
        <v/>
      </c>
    </row>
    <row r="30">
      <c r="A30" s="37" t="n"/>
      <c r="B30" s="38" t="n"/>
      <c r="C30" s="38" t="n"/>
      <c r="D30" s="38" t="n"/>
      <c r="E30" s="38" t="n"/>
      <c r="F30" s="39" t="n"/>
      <c r="G30" s="25">
        <f>IF($F30="","",IF(IFERROR(INDEX(Parámetros!$B$64:$B$68,MATCH($C30,Parámetros!$A$64:$A$68,0)),0)=1,ROUND($F30*Parámetros!$B$13,0),0))</f>
        <v/>
      </c>
      <c r="H30" s="25">
        <f>IF($F30="","",$F30+$G30)</f>
        <v/>
      </c>
      <c r="I30" s="38" t="n"/>
      <c r="J30" s="37" t="n"/>
      <c r="K30" s="38" t="n"/>
      <c r="L30" s="40">
        <f>IF($A30="","",YEAR($A30))</f>
        <v/>
      </c>
      <c r="M30" s="40">
        <f>IF($A30="","",MONTH($A30))</f>
        <v/>
      </c>
      <c r="N30" s="40">
        <f>IF($J30="","",YEAR($J30))</f>
        <v/>
      </c>
      <c r="O30" s="40">
        <f>IF($J30="","",MONTH($J30))</f>
        <v/>
      </c>
    </row>
    <row r="31">
      <c r="A31" s="37" t="n"/>
      <c r="B31" s="38" t="n"/>
      <c r="C31" s="38" t="n"/>
      <c r="D31" s="38" t="n"/>
      <c r="E31" s="38" t="n"/>
      <c r="F31" s="39" t="n"/>
      <c r="G31" s="25">
        <f>IF($F31="","",IF(IFERROR(INDEX(Parámetros!$B$64:$B$68,MATCH($C31,Parámetros!$A$64:$A$68,0)),0)=1,ROUND($F31*Parámetros!$B$13,0),0))</f>
        <v/>
      </c>
      <c r="H31" s="25">
        <f>IF($F31="","",$F31+$G31)</f>
        <v/>
      </c>
      <c r="I31" s="38" t="n"/>
      <c r="J31" s="37" t="n"/>
      <c r="K31" s="38" t="n"/>
      <c r="L31" s="40">
        <f>IF($A31="","",YEAR($A31))</f>
        <v/>
      </c>
      <c r="M31" s="40">
        <f>IF($A31="","",MONTH($A31))</f>
        <v/>
      </c>
      <c r="N31" s="40">
        <f>IF($J31="","",YEAR($J31))</f>
        <v/>
      </c>
      <c r="O31" s="40">
        <f>IF($J31="","",MONTH($J31))</f>
        <v/>
      </c>
    </row>
    <row r="32">
      <c r="A32" s="37" t="n"/>
      <c r="B32" s="38" t="n"/>
      <c r="C32" s="38" t="n"/>
      <c r="D32" s="38" t="n"/>
      <c r="E32" s="38" t="n"/>
      <c r="F32" s="39" t="n"/>
      <c r="G32" s="25">
        <f>IF($F32="","",IF(IFERROR(INDEX(Parámetros!$B$64:$B$68,MATCH($C32,Parámetros!$A$64:$A$68,0)),0)=1,ROUND($F32*Parámetros!$B$13,0),0))</f>
        <v/>
      </c>
      <c r="H32" s="25">
        <f>IF($F32="","",$F32+$G32)</f>
        <v/>
      </c>
      <c r="I32" s="38" t="n"/>
      <c r="J32" s="37" t="n"/>
      <c r="K32" s="38" t="n"/>
      <c r="L32" s="40">
        <f>IF($A32="","",YEAR($A32))</f>
        <v/>
      </c>
      <c r="M32" s="40">
        <f>IF($A32="","",MONTH($A32))</f>
        <v/>
      </c>
      <c r="N32" s="40">
        <f>IF($J32="","",YEAR($J32))</f>
        <v/>
      </c>
      <c r="O32" s="40">
        <f>IF($J32="","",MONTH($J32))</f>
        <v/>
      </c>
    </row>
    <row r="33">
      <c r="A33" s="37" t="n"/>
      <c r="B33" s="38" t="n"/>
      <c r="C33" s="38" t="n"/>
      <c r="D33" s="38" t="n"/>
      <c r="E33" s="38" t="n"/>
      <c r="F33" s="39" t="n"/>
      <c r="G33" s="25">
        <f>IF($F33="","",IF(IFERROR(INDEX(Parámetros!$B$64:$B$68,MATCH($C33,Parámetros!$A$64:$A$68,0)),0)=1,ROUND($F33*Parámetros!$B$13,0),0))</f>
        <v/>
      </c>
      <c r="H33" s="25">
        <f>IF($F33="","",$F33+$G33)</f>
        <v/>
      </c>
      <c r="I33" s="38" t="n"/>
      <c r="J33" s="37" t="n"/>
      <c r="K33" s="38" t="n"/>
      <c r="L33" s="40">
        <f>IF($A33="","",YEAR($A33))</f>
        <v/>
      </c>
      <c r="M33" s="40">
        <f>IF($A33="","",MONTH($A33))</f>
        <v/>
      </c>
      <c r="N33" s="40">
        <f>IF($J33="","",YEAR($J33))</f>
        <v/>
      </c>
      <c r="O33" s="40">
        <f>IF($J33="","",MONTH($J33))</f>
        <v/>
      </c>
    </row>
    <row r="34">
      <c r="A34" s="37" t="n"/>
      <c r="B34" s="38" t="n"/>
      <c r="C34" s="38" t="n"/>
      <c r="D34" s="38" t="n"/>
      <c r="E34" s="38" t="n"/>
      <c r="F34" s="39" t="n"/>
      <c r="G34" s="25">
        <f>IF($F34="","",IF(IFERROR(INDEX(Parámetros!$B$64:$B$68,MATCH($C34,Parámetros!$A$64:$A$68,0)),0)=1,ROUND($F34*Parámetros!$B$13,0),0))</f>
        <v/>
      </c>
      <c r="H34" s="25">
        <f>IF($F34="","",$F34+$G34)</f>
        <v/>
      </c>
      <c r="I34" s="38" t="n"/>
      <c r="J34" s="37" t="n"/>
      <c r="K34" s="38" t="n"/>
      <c r="L34" s="40">
        <f>IF($A34="","",YEAR($A34))</f>
        <v/>
      </c>
      <c r="M34" s="40">
        <f>IF($A34="","",MONTH($A34))</f>
        <v/>
      </c>
      <c r="N34" s="40">
        <f>IF($J34="","",YEAR($J34))</f>
        <v/>
      </c>
      <c r="O34" s="40">
        <f>IF($J34="","",MONTH($J34))</f>
        <v/>
      </c>
    </row>
    <row r="35">
      <c r="A35" s="37" t="n"/>
      <c r="B35" s="38" t="n"/>
      <c r="C35" s="38" t="n"/>
      <c r="D35" s="38" t="n"/>
      <c r="E35" s="38" t="n"/>
      <c r="F35" s="39" t="n"/>
      <c r="G35" s="25">
        <f>IF($F35="","",IF(IFERROR(INDEX(Parámetros!$B$64:$B$68,MATCH($C35,Parámetros!$A$64:$A$68,0)),0)=1,ROUND($F35*Parámetros!$B$13,0),0))</f>
        <v/>
      </c>
      <c r="H35" s="25">
        <f>IF($F35="","",$F35+$G35)</f>
        <v/>
      </c>
      <c r="I35" s="38" t="n"/>
      <c r="J35" s="37" t="n"/>
      <c r="K35" s="38" t="n"/>
      <c r="L35" s="40">
        <f>IF($A35="","",YEAR($A35))</f>
        <v/>
      </c>
      <c r="M35" s="40">
        <f>IF($A35="","",MONTH($A35))</f>
        <v/>
      </c>
      <c r="N35" s="40">
        <f>IF($J35="","",YEAR($J35))</f>
        <v/>
      </c>
      <c r="O35" s="40">
        <f>IF($J35="","",MONTH($J35))</f>
        <v/>
      </c>
    </row>
    <row r="36">
      <c r="A36" s="37" t="n"/>
      <c r="B36" s="38" t="n"/>
      <c r="C36" s="38" t="n"/>
      <c r="D36" s="38" t="n"/>
      <c r="E36" s="38" t="n"/>
      <c r="F36" s="39" t="n"/>
      <c r="G36" s="25">
        <f>IF($F36="","",IF(IFERROR(INDEX(Parámetros!$B$64:$B$68,MATCH($C36,Parámetros!$A$64:$A$68,0)),0)=1,ROUND($F36*Parámetros!$B$13,0),0))</f>
        <v/>
      </c>
      <c r="H36" s="25">
        <f>IF($F36="","",$F36+$G36)</f>
        <v/>
      </c>
      <c r="I36" s="38" t="n"/>
      <c r="J36" s="37" t="n"/>
      <c r="K36" s="38" t="n"/>
      <c r="L36" s="40">
        <f>IF($A36="","",YEAR($A36))</f>
        <v/>
      </c>
      <c r="M36" s="40">
        <f>IF($A36="","",MONTH($A36))</f>
        <v/>
      </c>
      <c r="N36" s="40">
        <f>IF($J36="","",YEAR($J36))</f>
        <v/>
      </c>
      <c r="O36" s="40">
        <f>IF($J36="","",MONTH($J36))</f>
        <v/>
      </c>
    </row>
    <row r="37">
      <c r="A37" s="37" t="n"/>
      <c r="B37" s="38" t="n"/>
      <c r="C37" s="38" t="n"/>
      <c r="D37" s="38" t="n"/>
      <c r="E37" s="38" t="n"/>
      <c r="F37" s="39" t="n"/>
      <c r="G37" s="25">
        <f>IF($F37="","",IF(IFERROR(INDEX(Parámetros!$B$64:$B$68,MATCH($C37,Parámetros!$A$64:$A$68,0)),0)=1,ROUND($F37*Parámetros!$B$13,0),0))</f>
        <v/>
      </c>
      <c r="H37" s="25">
        <f>IF($F37="","",$F37+$G37)</f>
        <v/>
      </c>
      <c r="I37" s="38" t="n"/>
      <c r="J37" s="37" t="n"/>
      <c r="K37" s="38" t="n"/>
      <c r="L37" s="40">
        <f>IF($A37="","",YEAR($A37))</f>
        <v/>
      </c>
      <c r="M37" s="40">
        <f>IF($A37="","",MONTH($A37))</f>
        <v/>
      </c>
      <c r="N37" s="40">
        <f>IF($J37="","",YEAR($J37))</f>
        <v/>
      </c>
      <c r="O37" s="40">
        <f>IF($J37="","",MONTH($J37))</f>
        <v/>
      </c>
    </row>
    <row r="38">
      <c r="A38" s="37" t="n"/>
      <c r="B38" s="38" t="n"/>
      <c r="C38" s="38" t="n"/>
      <c r="D38" s="38" t="n"/>
      <c r="E38" s="38" t="n"/>
      <c r="F38" s="39" t="n"/>
      <c r="G38" s="25">
        <f>IF($F38="","",IF(IFERROR(INDEX(Parámetros!$B$64:$B$68,MATCH($C38,Parámetros!$A$64:$A$68,0)),0)=1,ROUND($F38*Parámetros!$B$13,0),0))</f>
        <v/>
      </c>
      <c r="H38" s="25">
        <f>IF($F38="","",$F38+$G38)</f>
        <v/>
      </c>
      <c r="I38" s="38" t="n"/>
      <c r="J38" s="37" t="n"/>
      <c r="K38" s="38" t="n"/>
      <c r="L38" s="40">
        <f>IF($A38="","",YEAR($A38))</f>
        <v/>
      </c>
      <c r="M38" s="40">
        <f>IF($A38="","",MONTH($A38))</f>
        <v/>
      </c>
      <c r="N38" s="40">
        <f>IF($J38="","",YEAR($J38))</f>
        <v/>
      </c>
      <c r="O38" s="40">
        <f>IF($J38="","",MONTH($J38))</f>
        <v/>
      </c>
    </row>
    <row r="39">
      <c r="A39" s="37" t="n"/>
      <c r="B39" s="38" t="n"/>
      <c r="C39" s="38" t="n"/>
      <c r="D39" s="38" t="n"/>
      <c r="E39" s="38" t="n"/>
      <c r="F39" s="39" t="n"/>
      <c r="G39" s="25">
        <f>IF($F39="","",IF(IFERROR(INDEX(Parámetros!$B$64:$B$68,MATCH($C39,Parámetros!$A$64:$A$68,0)),0)=1,ROUND($F39*Parámetros!$B$13,0),0))</f>
        <v/>
      </c>
      <c r="H39" s="25">
        <f>IF($F39="","",$F39+$G39)</f>
        <v/>
      </c>
      <c r="I39" s="38" t="n"/>
      <c r="J39" s="37" t="n"/>
      <c r="K39" s="38" t="n"/>
      <c r="L39" s="40">
        <f>IF($A39="","",YEAR($A39))</f>
        <v/>
      </c>
      <c r="M39" s="40">
        <f>IF($A39="","",MONTH($A39))</f>
        <v/>
      </c>
      <c r="N39" s="40">
        <f>IF($J39="","",YEAR($J39))</f>
        <v/>
      </c>
      <c r="O39" s="40">
        <f>IF($J39="","",MONTH($J39))</f>
        <v/>
      </c>
    </row>
    <row r="40">
      <c r="A40" s="37" t="n"/>
      <c r="B40" s="38" t="n"/>
      <c r="C40" s="38" t="n"/>
      <c r="D40" s="38" t="n"/>
      <c r="E40" s="38" t="n"/>
      <c r="F40" s="39" t="n"/>
      <c r="G40" s="25">
        <f>IF($F40="","",IF(IFERROR(INDEX(Parámetros!$B$64:$B$68,MATCH($C40,Parámetros!$A$64:$A$68,0)),0)=1,ROUND($F40*Parámetros!$B$13,0),0))</f>
        <v/>
      </c>
      <c r="H40" s="25">
        <f>IF($F40="","",$F40+$G40)</f>
        <v/>
      </c>
      <c r="I40" s="38" t="n"/>
      <c r="J40" s="37" t="n"/>
      <c r="K40" s="38" t="n"/>
      <c r="L40" s="40">
        <f>IF($A40="","",YEAR($A40))</f>
        <v/>
      </c>
      <c r="M40" s="40">
        <f>IF($A40="","",MONTH($A40))</f>
        <v/>
      </c>
      <c r="N40" s="40">
        <f>IF($J40="","",YEAR($J40))</f>
        <v/>
      </c>
      <c r="O40" s="40">
        <f>IF($J40="","",MONTH($J40))</f>
        <v/>
      </c>
    </row>
    <row r="41">
      <c r="A41" s="37" t="n"/>
      <c r="B41" s="38" t="n"/>
      <c r="C41" s="38" t="n"/>
      <c r="D41" s="38" t="n"/>
      <c r="E41" s="38" t="n"/>
      <c r="F41" s="39" t="n"/>
      <c r="G41" s="25">
        <f>IF($F41="","",IF(IFERROR(INDEX(Parámetros!$B$64:$B$68,MATCH($C41,Parámetros!$A$64:$A$68,0)),0)=1,ROUND($F41*Parámetros!$B$13,0),0))</f>
        <v/>
      </c>
      <c r="H41" s="25">
        <f>IF($F41="","",$F41+$G41)</f>
        <v/>
      </c>
      <c r="I41" s="38" t="n"/>
      <c r="J41" s="37" t="n"/>
      <c r="K41" s="38" t="n"/>
      <c r="L41" s="40">
        <f>IF($A41="","",YEAR($A41))</f>
        <v/>
      </c>
      <c r="M41" s="40">
        <f>IF($A41="","",MONTH($A41))</f>
        <v/>
      </c>
      <c r="N41" s="40">
        <f>IF($J41="","",YEAR($J41))</f>
        <v/>
      </c>
      <c r="O41" s="40">
        <f>IF($J41="","",MONTH($J41))</f>
        <v/>
      </c>
    </row>
    <row r="42">
      <c r="A42" s="37" t="n"/>
      <c r="B42" s="38" t="n"/>
      <c r="C42" s="38" t="n"/>
      <c r="D42" s="38" t="n"/>
      <c r="E42" s="38" t="n"/>
      <c r="F42" s="39" t="n"/>
      <c r="G42" s="25">
        <f>IF($F42="","",IF(IFERROR(INDEX(Parámetros!$B$64:$B$68,MATCH($C42,Parámetros!$A$64:$A$68,0)),0)=1,ROUND($F42*Parámetros!$B$13,0),0))</f>
        <v/>
      </c>
      <c r="H42" s="25">
        <f>IF($F42="","",$F42+$G42)</f>
        <v/>
      </c>
      <c r="I42" s="38" t="n"/>
      <c r="J42" s="37" t="n"/>
      <c r="K42" s="38" t="n"/>
      <c r="L42" s="40">
        <f>IF($A42="","",YEAR($A42))</f>
        <v/>
      </c>
      <c r="M42" s="40">
        <f>IF($A42="","",MONTH($A42))</f>
        <v/>
      </c>
      <c r="N42" s="40">
        <f>IF($J42="","",YEAR($J42))</f>
        <v/>
      </c>
      <c r="O42" s="40">
        <f>IF($J42="","",MONTH($J42))</f>
        <v/>
      </c>
    </row>
    <row r="43">
      <c r="A43" s="37" t="n"/>
      <c r="B43" s="38" t="n"/>
      <c r="C43" s="38" t="n"/>
      <c r="D43" s="38" t="n"/>
      <c r="E43" s="38" t="n"/>
      <c r="F43" s="39" t="n"/>
      <c r="G43" s="25">
        <f>IF($F43="","",IF(IFERROR(INDEX(Parámetros!$B$64:$B$68,MATCH($C43,Parámetros!$A$64:$A$68,0)),0)=1,ROUND($F43*Parámetros!$B$13,0),0))</f>
        <v/>
      </c>
      <c r="H43" s="25">
        <f>IF($F43="","",$F43+$G43)</f>
        <v/>
      </c>
      <c r="I43" s="38" t="n"/>
      <c r="J43" s="37" t="n"/>
      <c r="K43" s="38" t="n"/>
      <c r="L43" s="40">
        <f>IF($A43="","",YEAR($A43))</f>
        <v/>
      </c>
      <c r="M43" s="40">
        <f>IF($A43="","",MONTH($A43))</f>
        <v/>
      </c>
      <c r="N43" s="40">
        <f>IF($J43="","",YEAR($J43))</f>
        <v/>
      </c>
      <c r="O43" s="40">
        <f>IF($J43="","",MONTH($J43))</f>
        <v/>
      </c>
    </row>
    <row r="44">
      <c r="A44" s="37" t="n"/>
      <c r="B44" s="38" t="n"/>
      <c r="C44" s="38" t="n"/>
      <c r="D44" s="38" t="n"/>
      <c r="E44" s="38" t="n"/>
      <c r="F44" s="39" t="n"/>
      <c r="G44" s="25">
        <f>IF($F44="","",IF(IFERROR(INDEX(Parámetros!$B$64:$B$68,MATCH($C44,Parámetros!$A$64:$A$68,0)),0)=1,ROUND($F44*Parámetros!$B$13,0),0))</f>
        <v/>
      </c>
      <c r="H44" s="25">
        <f>IF($F44="","",$F44+$G44)</f>
        <v/>
      </c>
      <c r="I44" s="38" t="n"/>
      <c r="J44" s="37" t="n"/>
      <c r="K44" s="38" t="n"/>
      <c r="L44" s="40">
        <f>IF($A44="","",YEAR($A44))</f>
        <v/>
      </c>
      <c r="M44" s="40">
        <f>IF($A44="","",MONTH($A44))</f>
        <v/>
      </c>
      <c r="N44" s="40">
        <f>IF($J44="","",YEAR($J44))</f>
        <v/>
      </c>
      <c r="O44" s="40">
        <f>IF($J44="","",MONTH($J44))</f>
        <v/>
      </c>
    </row>
    <row r="45">
      <c r="A45" s="37" t="n"/>
      <c r="B45" s="38" t="n"/>
      <c r="C45" s="38" t="n"/>
      <c r="D45" s="38" t="n"/>
      <c r="E45" s="38" t="n"/>
      <c r="F45" s="39" t="n"/>
      <c r="G45" s="25">
        <f>IF($F45="","",IF(IFERROR(INDEX(Parámetros!$B$64:$B$68,MATCH($C45,Parámetros!$A$64:$A$68,0)),0)=1,ROUND($F45*Parámetros!$B$13,0),0))</f>
        <v/>
      </c>
      <c r="H45" s="25">
        <f>IF($F45="","",$F45+$G45)</f>
        <v/>
      </c>
      <c r="I45" s="38" t="n"/>
      <c r="J45" s="37" t="n"/>
      <c r="K45" s="38" t="n"/>
      <c r="L45" s="40">
        <f>IF($A45="","",YEAR($A45))</f>
        <v/>
      </c>
      <c r="M45" s="40">
        <f>IF($A45="","",MONTH($A45))</f>
        <v/>
      </c>
      <c r="N45" s="40">
        <f>IF($J45="","",YEAR($J45))</f>
        <v/>
      </c>
      <c r="O45" s="40">
        <f>IF($J45="","",MONTH($J45))</f>
        <v/>
      </c>
    </row>
    <row r="46">
      <c r="A46" s="37" t="n"/>
      <c r="B46" s="38" t="n"/>
      <c r="C46" s="38" t="n"/>
      <c r="D46" s="38" t="n"/>
      <c r="E46" s="38" t="n"/>
      <c r="F46" s="39" t="n"/>
      <c r="G46" s="25">
        <f>IF($F46="","",IF(IFERROR(INDEX(Parámetros!$B$64:$B$68,MATCH($C46,Parámetros!$A$64:$A$68,0)),0)=1,ROUND($F46*Parámetros!$B$13,0),0))</f>
        <v/>
      </c>
      <c r="H46" s="25">
        <f>IF($F46="","",$F46+$G46)</f>
        <v/>
      </c>
      <c r="I46" s="38" t="n"/>
      <c r="J46" s="37" t="n"/>
      <c r="K46" s="38" t="n"/>
      <c r="L46" s="40">
        <f>IF($A46="","",YEAR($A46))</f>
        <v/>
      </c>
      <c r="M46" s="40">
        <f>IF($A46="","",MONTH($A46))</f>
        <v/>
      </c>
      <c r="N46" s="40">
        <f>IF($J46="","",YEAR($J46))</f>
        <v/>
      </c>
      <c r="O46" s="40">
        <f>IF($J46="","",MONTH($J46))</f>
        <v/>
      </c>
    </row>
    <row r="47">
      <c r="A47" s="37" t="n"/>
      <c r="B47" s="38" t="n"/>
      <c r="C47" s="38" t="n"/>
      <c r="D47" s="38" t="n"/>
      <c r="E47" s="38" t="n"/>
      <c r="F47" s="39" t="n"/>
      <c r="G47" s="25">
        <f>IF($F47="","",IF(IFERROR(INDEX(Parámetros!$B$64:$B$68,MATCH($C47,Parámetros!$A$64:$A$68,0)),0)=1,ROUND($F47*Parámetros!$B$13,0),0))</f>
        <v/>
      </c>
      <c r="H47" s="25">
        <f>IF($F47="","",$F47+$G47)</f>
        <v/>
      </c>
      <c r="I47" s="38" t="n"/>
      <c r="J47" s="37" t="n"/>
      <c r="K47" s="38" t="n"/>
      <c r="L47" s="40">
        <f>IF($A47="","",YEAR($A47))</f>
        <v/>
      </c>
      <c r="M47" s="40">
        <f>IF($A47="","",MONTH($A47))</f>
        <v/>
      </c>
      <c r="N47" s="40">
        <f>IF($J47="","",YEAR($J47))</f>
        <v/>
      </c>
      <c r="O47" s="40">
        <f>IF($J47="","",MONTH($J47))</f>
        <v/>
      </c>
    </row>
    <row r="48">
      <c r="A48" s="37" t="n"/>
      <c r="B48" s="38" t="n"/>
      <c r="C48" s="38" t="n"/>
      <c r="D48" s="38" t="n"/>
      <c r="E48" s="38" t="n"/>
      <c r="F48" s="39" t="n"/>
      <c r="G48" s="25">
        <f>IF($F48="","",IF(IFERROR(INDEX(Parámetros!$B$64:$B$68,MATCH($C48,Parámetros!$A$64:$A$68,0)),0)=1,ROUND($F48*Parámetros!$B$13,0),0))</f>
        <v/>
      </c>
      <c r="H48" s="25">
        <f>IF($F48="","",$F48+$G48)</f>
        <v/>
      </c>
      <c r="I48" s="38" t="n"/>
      <c r="J48" s="37" t="n"/>
      <c r="K48" s="38" t="n"/>
      <c r="L48" s="40">
        <f>IF($A48="","",YEAR($A48))</f>
        <v/>
      </c>
      <c r="M48" s="40">
        <f>IF($A48="","",MONTH($A48))</f>
        <v/>
      </c>
      <c r="N48" s="40">
        <f>IF($J48="","",YEAR($J48))</f>
        <v/>
      </c>
      <c r="O48" s="40">
        <f>IF($J48="","",MONTH($J48))</f>
        <v/>
      </c>
    </row>
    <row r="49">
      <c r="A49" s="37" t="n"/>
      <c r="B49" s="38" t="n"/>
      <c r="C49" s="38" t="n"/>
      <c r="D49" s="38" t="n"/>
      <c r="E49" s="38" t="n"/>
      <c r="F49" s="39" t="n"/>
      <c r="G49" s="25">
        <f>IF($F49="","",IF(IFERROR(INDEX(Parámetros!$B$64:$B$68,MATCH($C49,Parámetros!$A$64:$A$68,0)),0)=1,ROUND($F49*Parámetros!$B$13,0),0))</f>
        <v/>
      </c>
      <c r="H49" s="25">
        <f>IF($F49="","",$F49+$G49)</f>
        <v/>
      </c>
      <c r="I49" s="38" t="n"/>
      <c r="J49" s="37" t="n"/>
      <c r="K49" s="38" t="n"/>
      <c r="L49" s="40">
        <f>IF($A49="","",YEAR($A49))</f>
        <v/>
      </c>
      <c r="M49" s="40">
        <f>IF($A49="","",MONTH($A49))</f>
        <v/>
      </c>
      <c r="N49" s="40">
        <f>IF($J49="","",YEAR($J49))</f>
        <v/>
      </c>
      <c r="O49" s="40">
        <f>IF($J49="","",MONTH($J49))</f>
        <v/>
      </c>
    </row>
    <row r="50">
      <c r="A50" s="37" t="n"/>
      <c r="B50" s="38" t="n"/>
      <c r="C50" s="38" t="n"/>
      <c r="D50" s="38" t="n"/>
      <c r="E50" s="38" t="n"/>
      <c r="F50" s="39" t="n"/>
      <c r="G50" s="25">
        <f>IF($F50="","",IF(IFERROR(INDEX(Parámetros!$B$64:$B$68,MATCH($C50,Parámetros!$A$64:$A$68,0)),0)=1,ROUND($F50*Parámetros!$B$13,0),0))</f>
        <v/>
      </c>
      <c r="H50" s="25">
        <f>IF($F50="","",$F50+$G50)</f>
        <v/>
      </c>
      <c r="I50" s="38" t="n"/>
      <c r="J50" s="37" t="n"/>
      <c r="K50" s="38" t="n"/>
      <c r="L50" s="40">
        <f>IF($A50="","",YEAR($A50))</f>
        <v/>
      </c>
      <c r="M50" s="40">
        <f>IF($A50="","",MONTH($A50))</f>
        <v/>
      </c>
      <c r="N50" s="40">
        <f>IF($J50="","",YEAR($J50))</f>
        <v/>
      </c>
      <c r="O50" s="40">
        <f>IF($J50="","",MONTH($J50))</f>
        <v/>
      </c>
    </row>
    <row r="51">
      <c r="A51" s="37" t="n"/>
      <c r="B51" s="38" t="n"/>
      <c r="C51" s="38" t="n"/>
      <c r="D51" s="38" t="n"/>
      <c r="E51" s="38" t="n"/>
      <c r="F51" s="39" t="n"/>
      <c r="G51" s="25">
        <f>IF($F51="","",IF(IFERROR(INDEX(Parámetros!$B$64:$B$68,MATCH($C51,Parámetros!$A$64:$A$68,0)),0)=1,ROUND($F51*Parámetros!$B$13,0),0))</f>
        <v/>
      </c>
      <c r="H51" s="25">
        <f>IF($F51="","",$F51+$G51)</f>
        <v/>
      </c>
      <c r="I51" s="38" t="n"/>
      <c r="J51" s="37" t="n"/>
      <c r="K51" s="38" t="n"/>
      <c r="L51" s="40">
        <f>IF($A51="","",YEAR($A51))</f>
        <v/>
      </c>
      <c r="M51" s="40">
        <f>IF($A51="","",MONTH($A51))</f>
        <v/>
      </c>
      <c r="N51" s="40">
        <f>IF($J51="","",YEAR($J51))</f>
        <v/>
      </c>
      <c r="O51" s="40">
        <f>IF($J51="","",MONTH($J51))</f>
        <v/>
      </c>
    </row>
    <row r="52">
      <c r="A52" s="37" t="n"/>
      <c r="B52" s="38" t="n"/>
      <c r="C52" s="38" t="n"/>
      <c r="D52" s="38" t="n"/>
      <c r="E52" s="38" t="n"/>
      <c r="F52" s="39" t="n"/>
      <c r="G52" s="25">
        <f>IF($F52="","",IF(IFERROR(INDEX(Parámetros!$B$64:$B$68,MATCH($C52,Parámetros!$A$64:$A$68,0)),0)=1,ROUND($F52*Parámetros!$B$13,0),0))</f>
        <v/>
      </c>
      <c r="H52" s="25">
        <f>IF($F52="","",$F52+$G52)</f>
        <v/>
      </c>
      <c r="I52" s="38" t="n"/>
      <c r="J52" s="37" t="n"/>
      <c r="K52" s="38" t="n"/>
      <c r="L52" s="40">
        <f>IF($A52="","",YEAR($A52))</f>
        <v/>
      </c>
      <c r="M52" s="40">
        <f>IF($A52="","",MONTH($A52))</f>
        <v/>
      </c>
      <c r="N52" s="40">
        <f>IF($J52="","",YEAR($J52))</f>
        <v/>
      </c>
      <c r="O52" s="40">
        <f>IF($J52="","",MONTH($J52))</f>
        <v/>
      </c>
    </row>
    <row r="53">
      <c r="A53" s="37" t="n"/>
      <c r="B53" s="38" t="n"/>
      <c r="C53" s="38" t="n"/>
      <c r="D53" s="38" t="n"/>
      <c r="E53" s="38" t="n"/>
      <c r="F53" s="39" t="n"/>
      <c r="G53" s="25">
        <f>IF($F53="","",IF(IFERROR(INDEX(Parámetros!$B$64:$B$68,MATCH($C53,Parámetros!$A$64:$A$68,0)),0)=1,ROUND($F53*Parámetros!$B$13,0),0))</f>
        <v/>
      </c>
      <c r="H53" s="25">
        <f>IF($F53="","",$F53+$G53)</f>
        <v/>
      </c>
      <c r="I53" s="38" t="n"/>
      <c r="J53" s="37" t="n"/>
      <c r="K53" s="38" t="n"/>
      <c r="L53" s="40">
        <f>IF($A53="","",YEAR($A53))</f>
        <v/>
      </c>
      <c r="M53" s="40">
        <f>IF($A53="","",MONTH($A53))</f>
        <v/>
      </c>
      <c r="N53" s="40">
        <f>IF($J53="","",YEAR($J53))</f>
        <v/>
      </c>
      <c r="O53" s="40">
        <f>IF($J53="","",MONTH($J53))</f>
        <v/>
      </c>
    </row>
    <row r="54">
      <c r="A54" s="37" t="n"/>
      <c r="B54" s="38" t="n"/>
      <c r="C54" s="38" t="n"/>
      <c r="D54" s="38" t="n"/>
      <c r="E54" s="38" t="n"/>
      <c r="F54" s="39" t="n"/>
      <c r="G54" s="25">
        <f>IF($F54="","",IF(IFERROR(INDEX(Parámetros!$B$64:$B$68,MATCH($C54,Parámetros!$A$64:$A$68,0)),0)=1,ROUND($F54*Parámetros!$B$13,0),0))</f>
        <v/>
      </c>
      <c r="H54" s="25">
        <f>IF($F54="","",$F54+$G54)</f>
        <v/>
      </c>
      <c r="I54" s="38" t="n"/>
      <c r="J54" s="37" t="n"/>
      <c r="K54" s="38" t="n"/>
      <c r="L54" s="40">
        <f>IF($A54="","",YEAR($A54))</f>
        <v/>
      </c>
      <c r="M54" s="40">
        <f>IF($A54="","",MONTH($A54))</f>
        <v/>
      </c>
      <c r="N54" s="40">
        <f>IF($J54="","",YEAR($J54))</f>
        <v/>
      </c>
      <c r="O54" s="40">
        <f>IF($J54="","",MONTH($J54))</f>
        <v/>
      </c>
    </row>
    <row r="55">
      <c r="A55" s="37" t="n"/>
      <c r="B55" s="38" t="n"/>
      <c r="C55" s="38" t="n"/>
      <c r="D55" s="38" t="n"/>
      <c r="E55" s="38" t="n"/>
      <c r="F55" s="39" t="n"/>
      <c r="G55" s="25">
        <f>IF($F55="","",IF(IFERROR(INDEX(Parámetros!$B$64:$B$68,MATCH($C55,Parámetros!$A$64:$A$68,0)),0)=1,ROUND($F55*Parámetros!$B$13,0),0))</f>
        <v/>
      </c>
      <c r="H55" s="25">
        <f>IF($F55="","",$F55+$G55)</f>
        <v/>
      </c>
      <c r="I55" s="38" t="n"/>
      <c r="J55" s="37" t="n"/>
      <c r="K55" s="38" t="n"/>
      <c r="L55" s="40">
        <f>IF($A55="","",YEAR($A55))</f>
        <v/>
      </c>
      <c r="M55" s="40">
        <f>IF($A55="","",MONTH($A55))</f>
        <v/>
      </c>
      <c r="N55" s="40">
        <f>IF($J55="","",YEAR($J55))</f>
        <v/>
      </c>
      <c r="O55" s="40">
        <f>IF($J55="","",MONTH($J55))</f>
        <v/>
      </c>
    </row>
    <row r="56">
      <c r="A56" s="37" t="n"/>
      <c r="B56" s="38" t="n"/>
      <c r="C56" s="38" t="n"/>
      <c r="D56" s="38" t="n"/>
      <c r="E56" s="38" t="n"/>
      <c r="F56" s="39" t="n"/>
      <c r="G56" s="25">
        <f>IF($F56="","",IF(IFERROR(INDEX(Parámetros!$B$64:$B$68,MATCH($C56,Parámetros!$A$64:$A$68,0)),0)=1,ROUND($F56*Parámetros!$B$13,0),0))</f>
        <v/>
      </c>
      <c r="H56" s="25">
        <f>IF($F56="","",$F56+$G56)</f>
        <v/>
      </c>
      <c r="I56" s="38" t="n"/>
      <c r="J56" s="37" t="n"/>
      <c r="K56" s="38" t="n"/>
      <c r="L56" s="40">
        <f>IF($A56="","",YEAR($A56))</f>
        <v/>
      </c>
      <c r="M56" s="40">
        <f>IF($A56="","",MONTH($A56))</f>
        <v/>
      </c>
      <c r="N56" s="40">
        <f>IF($J56="","",YEAR($J56))</f>
        <v/>
      </c>
      <c r="O56" s="40">
        <f>IF($J56="","",MONTH($J56))</f>
        <v/>
      </c>
    </row>
    <row r="57">
      <c r="A57" s="37" t="n"/>
      <c r="B57" s="38" t="n"/>
      <c r="C57" s="38" t="n"/>
      <c r="D57" s="38" t="n"/>
      <c r="E57" s="38" t="n"/>
      <c r="F57" s="39" t="n"/>
      <c r="G57" s="25">
        <f>IF($F57="","",IF(IFERROR(INDEX(Parámetros!$B$64:$B$68,MATCH($C57,Parámetros!$A$64:$A$68,0)),0)=1,ROUND($F57*Parámetros!$B$13,0),0))</f>
        <v/>
      </c>
      <c r="H57" s="25">
        <f>IF($F57="","",$F57+$G57)</f>
        <v/>
      </c>
      <c r="I57" s="38" t="n"/>
      <c r="J57" s="37" t="n"/>
      <c r="K57" s="38" t="n"/>
      <c r="L57" s="40">
        <f>IF($A57="","",YEAR($A57))</f>
        <v/>
      </c>
      <c r="M57" s="40">
        <f>IF($A57="","",MONTH($A57))</f>
        <v/>
      </c>
      <c r="N57" s="40">
        <f>IF($J57="","",YEAR($J57))</f>
        <v/>
      </c>
      <c r="O57" s="40">
        <f>IF($J57="","",MONTH($J57))</f>
        <v/>
      </c>
    </row>
    <row r="58">
      <c r="A58" s="37" t="n"/>
      <c r="B58" s="38" t="n"/>
      <c r="C58" s="38" t="n"/>
      <c r="D58" s="38" t="n"/>
      <c r="E58" s="38" t="n"/>
      <c r="F58" s="39" t="n"/>
      <c r="G58" s="25">
        <f>IF($F58="","",IF(IFERROR(INDEX(Parámetros!$B$64:$B$68,MATCH($C58,Parámetros!$A$64:$A$68,0)),0)=1,ROUND($F58*Parámetros!$B$13,0),0))</f>
        <v/>
      </c>
      <c r="H58" s="25">
        <f>IF($F58="","",$F58+$G58)</f>
        <v/>
      </c>
      <c r="I58" s="38" t="n"/>
      <c r="J58" s="37" t="n"/>
      <c r="K58" s="38" t="n"/>
      <c r="L58" s="40">
        <f>IF($A58="","",YEAR($A58))</f>
        <v/>
      </c>
      <c r="M58" s="40">
        <f>IF($A58="","",MONTH($A58))</f>
        <v/>
      </c>
      <c r="N58" s="40">
        <f>IF($J58="","",YEAR($J58))</f>
        <v/>
      </c>
      <c r="O58" s="40">
        <f>IF($J58="","",MONTH($J58))</f>
        <v/>
      </c>
    </row>
    <row r="59">
      <c r="A59" s="37" t="n"/>
      <c r="B59" s="38" t="n"/>
      <c r="C59" s="38" t="n"/>
      <c r="D59" s="38" t="n"/>
      <c r="E59" s="38" t="n"/>
      <c r="F59" s="39" t="n"/>
      <c r="G59" s="25">
        <f>IF($F59="","",IF(IFERROR(INDEX(Parámetros!$B$64:$B$68,MATCH($C59,Parámetros!$A$64:$A$68,0)),0)=1,ROUND($F59*Parámetros!$B$13,0),0))</f>
        <v/>
      </c>
      <c r="H59" s="25">
        <f>IF($F59="","",$F59+$G59)</f>
        <v/>
      </c>
      <c r="I59" s="38" t="n"/>
      <c r="J59" s="37" t="n"/>
      <c r="K59" s="38" t="n"/>
      <c r="L59" s="40">
        <f>IF($A59="","",YEAR($A59))</f>
        <v/>
      </c>
      <c r="M59" s="40">
        <f>IF($A59="","",MONTH($A59))</f>
        <v/>
      </c>
      <c r="N59" s="40">
        <f>IF($J59="","",YEAR($J59))</f>
        <v/>
      </c>
      <c r="O59" s="40">
        <f>IF($J59="","",MONTH($J59))</f>
        <v/>
      </c>
    </row>
    <row r="60">
      <c r="A60" s="37" t="n"/>
      <c r="B60" s="38" t="n"/>
      <c r="C60" s="38" t="n"/>
      <c r="D60" s="38" t="n"/>
      <c r="E60" s="38" t="n"/>
      <c r="F60" s="39" t="n"/>
      <c r="G60" s="25">
        <f>IF($F60="","",IF(IFERROR(INDEX(Parámetros!$B$64:$B$68,MATCH($C60,Parámetros!$A$64:$A$68,0)),0)=1,ROUND($F60*Parámetros!$B$13,0),0))</f>
        <v/>
      </c>
      <c r="H60" s="25">
        <f>IF($F60="","",$F60+$G60)</f>
        <v/>
      </c>
      <c r="I60" s="38" t="n"/>
      <c r="J60" s="37" t="n"/>
      <c r="K60" s="38" t="n"/>
      <c r="L60" s="40">
        <f>IF($A60="","",YEAR($A60))</f>
        <v/>
      </c>
      <c r="M60" s="40">
        <f>IF($A60="","",MONTH($A60))</f>
        <v/>
      </c>
      <c r="N60" s="40">
        <f>IF($J60="","",YEAR($J60))</f>
        <v/>
      </c>
      <c r="O60" s="40">
        <f>IF($J60="","",MONTH($J60))</f>
        <v/>
      </c>
    </row>
    <row r="61">
      <c r="A61" s="37" t="n"/>
      <c r="B61" s="38" t="n"/>
      <c r="C61" s="38" t="n"/>
      <c r="D61" s="38" t="n"/>
      <c r="E61" s="38" t="n"/>
      <c r="F61" s="39" t="n"/>
      <c r="G61" s="25">
        <f>IF($F61="","",IF(IFERROR(INDEX(Parámetros!$B$64:$B$68,MATCH($C61,Parámetros!$A$64:$A$68,0)),0)=1,ROUND($F61*Parámetros!$B$13,0),0))</f>
        <v/>
      </c>
      <c r="H61" s="25">
        <f>IF($F61="","",$F61+$G61)</f>
        <v/>
      </c>
      <c r="I61" s="38" t="n"/>
      <c r="J61" s="37" t="n"/>
      <c r="K61" s="38" t="n"/>
      <c r="L61" s="40">
        <f>IF($A61="","",YEAR($A61))</f>
        <v/>
      </c>
      <c r="M61" s="40">
        <f>IF($A61="","",MONTH($A61))</f>
        <v/>
      </c>
      <c r="N61" s="40">
        <f>IF($J61="","",YEAR($J61))</f>
        <v/>
      </c>
      <c r="O61" s="40">
        <f>IF($J61="","",MONTH($J61))</f>
        <v/>
      </c>
    </row>
    <row r="62">
      <c r="A62" s="37" t="n"/>
      <c r="B62" s="38" t="n"/>
      <c r="C62" s="38" t="n"/>
      <c r="D62" s="38" t="n"/>
      <c r="E62" s="38" t="n"/>
      <c r="F62" s="39" t="n"/>
      <c r="G62" s="25">
        <f>IF($F62="","",IF(IFERROR(INDEX(Parámetros!$B$64:$B$68,MATCH($C62,Parámetros!$A$64:$A$68,0)),0)=1,ROUND($F62*Parámetros!$B$13,0),0))</f>
        <v/>
      </c>
      <c r="H62" s="25">
        <f>IF($F62="","",$F62+$G62)</f>
        <v/>
      </c>
      <c r="I62" s="38" t="n"/>
      <c r="J62" s="37" t="n"/>
      <c r="K62" s="38" t="n"/>
      <c r="L62" s="40">
        <f>IF($A62="","",YEAR($A62))</f>
        <v/>
      </c>
      <c r="M62" s="40">
        <f>IF($A62="","",MONTH($A62))</f>
        <v/>
      </c>
      <c r="N62" s="40">
        <f>IF($J62="","",YEAR($J62))</f>
        <v/>
      </c>
      <c r="O62" s="40">
        <f>IF($J62="","",MONTH($J62))</f>
        <v/>
      </c>
    </row>
    <row r="63">
      <c r="A63" s="37" t="n"/>
      <c r="B63" s="38" t="n"/>
      <c r="C63" s="38" t="n"/>
      <c r="D63" s="38" t="n"/>
      <c r="E63" s="38" t="n"/>
      <c r="F63" s="39" t="n"/>
      <c r="G63" s="25">
        <f>IF($F63="","",IF(IFERROR(INDEX(Parámetros!$B$64:$B$68,MATCH($C63,Parámetros!$A$64:$A$68,0)),0)=1,ROUND($F63*Parámetros!$B$13,0),0))</f>
        <v/>
      </c>
      <c r="H63" s="25">
        <f>IF($F63="","",$F63+$G63)</f>
        <v/>
      </c>
      <c r="I63" s="38" t="n"/>
      <c r="J63" s="37" t="n"/>
      <c r="K63" s="38" t="n"/>
      <c r="L63" s="40">
        <f>IF($A63="","",YEAR($A63))</f>
        <v/>
      </c>
      <c r="M63" s="40">
        <f>IF($A63="","",MONTH($A63))</f>
        <v/>
      </c>
      <c r="N63" s="40">
        <f>IF($J63="","",YEAR($J63))</f>
        <v/>
      </c>
      <c r="O63" s="40">
        <f>IF($J63="","",MONTH($J63))</f>
        <v/>
      </c>
    </row>
    <row r="64">
      <c r="A64" s="37" t="n"/>
      <c r="B64" s="38" t="n"/>
      <c r="C64" s="38" t="n"/>
      <c r="D64" s="38" t="n"/>
      <c r="E64" s="38" t="n"/>
      <c r="F64" s="39" t="n"/>
      <c r="G64" s="25">
        <f>IF($F64="","",IF(IFERROR(INDEX(Parámetros!$B$64:$B$68,MATCH($C64,Parámetros!$A$64:$A$68,0)),0)=1,ROUND($F64*Parámetros!$B$13,0),0))</f>
        <v/>
      </c>
      <c r="H64" s="25">
        <f>IF($F64="","",$F64+$G64)</f>
        <v/>
      </c>
      <c r="I64" s="38" t="n"/>
      <c r="J64" s="37" t="n"/>
      <c r="K64" s="38" t="n"/>
      <c r="L64" s="40">
        <f>IF($A64="","",YEAR($A64))</f>
        <v/>
      </c>
      <c r="M64" s="40">
        <f>IF($A64="","",MONTH($A64))</f>
        <v/>
      </c>
      <c r="N64" s="40">
        <f>IF($J64="","",YEAR($J64))</f>
        <v/>
      </c>
      <c r="O64" s="40">
        <f>IF($J64="","",MONTH($J64))</f>
        <v/>
      </c>
    </row>
    <row r="65">
      <c r="A65" s="37" t="n"/>
      <c r="B65" s="38" t="n"/>
      <c r="C65" s="38" t="n"/>
      <c r="D65" s="38" t="n"/>
      <c r="E65" s="38" t="n"/>
      <c r="F65" s="39" t="n"/>
      <c r="G65" s="25">
        <f>IF($F65="","",IF(IFERROR(INDEX(Parámetros!$B$64:$B$68,MATCH($C65,Parámetros!$A$64:$A$68,0)),0)=1,ROUND($F65*Parámetros!$B$13,0),0))</f>
        <v/>
      </c>
      <c r="H65" s="25">
        <f>IF($F65="","",$F65+$G65)</f>
        <v/>
      </c>
      <c r="I65" s="38" t="n"/>
      <c r="J65" s="37" t="n"/>
      <c r="K65" s="38" t="n"/>
      <c r="L65" s="40">
        <f>IF($A65="","",YEAR($A65))</f>
        <v/>
      </c>
      <c r="M65" s="40">
        <f>IF($A65="","",MONTH($A65))</f>
        <v/>
      </c>
      <c r="N65" s="40">
        <f>IF($J65="","",YEAR($J65))</f>
        <v/>
      </c>
      <c r="O65" s="40">
        <f>IF($J65="","",MONTH($J65))</f>
        <v/>
      </c>
    </row>
    <row r="66">
      <c r="A66" s="37" t="n"/>
      <c r="B66" s="38" t="n"/>
      <c r="C66" s="38" t="n"/>
      <c r="D66" s="38" t="n"/>
      <c r="E66" s="38" t="n"/>
      <c r="F66" s="39" t="n"/>
      <c r="G66" s="25">
        <f>IF($F66="","",IF(IFERROR(INDEX(Parámetros!$B$64:$B$68,MATCH($C66,Parámetros!$A$64:$A$68,0)),0)=1,ROUND($F66*Parámetros!$B$13,0),0))</f>
        <v/>
      </c>
      <c r="H66" s="25">
        <f>IF($F66="","",$F66+$G66)</f>
        <v/>
      </c>
      <c r="I66" s="38" t="n"/>
      <c r="J66" s="37" t="n"/>
      <c r="K66" s="38" t="n"/>
      <c r="L66" s="40">
        <f>IF($A66="","",YEAR($A66))</f>
        <v/>
      </c>
      <c r="M66" s="40">
        <f>IF($A66="","",MONTH($A66))</f>
        <v/>
      </c>
      <c r="N66" s="40">
        <f>IF($J66="","",YEAR($J66))</f>
        <v/>
      </c>
      <c r="O66" s="40">
        <f>IF($J66="","",MONTH($J66))</f>
        <v/>
      </c>
    </row>
    <row r="67">
      <c r="A67" s="37" t="n"/>
      <c r="B67" s="38" t="n"/>
      <c r="C67" s="38" t="n"/>
      <c r="D67" s="38" t="n"/>
      <c r="E67" s="38" t="n"/>
      <c r="F67" s="39" t="n"/>
      <c r="G67" s="25">
        <f>IF($F67="","",IF(IFERROR(INDEX(Parámetros!$B$64:$B$68,MATCH($C67,Parámetros!$A$64:$A$68,0)),0)=1,ROUND($F67*Parámetros!$B$13,0),0))</f>
        <v/>
      </c>
      <c r="H67" s="25">
        <f>IF($F67="","",$F67+$G67)</f>
        <v/>
      </c>
      <c r="I67" s="38" t="n"/>
      <c r="J67" s="37" t="n"/>
      <c r="K67" s="38" t="n"/>
      <c r="L67" s="40">
        <f>IF($A67="","",YEAR($A67))</f>
        <v/>
      </c>
      <c r="M67" s="40">
        <f>IF($A67="","",MONTH($A67))</f>
        <v/>
      </c>
      <c r="N67" s="40">
        <f>IF($J67="","",YEAR($J67))</f>
        <v/>
      </c>
      <c r="O67" s="40">
        <f>IF($J67="","",MONTH($J67))</f>
        <v/>
      </c>
    </row>
    <row r="68">
      <c r="A68" s="37" t="n"/>
      <c r="B68" s="38" t="n"/>
      <c r="C68" s="38" t="n"/>
      <c r="D68" s="38" t="n"/>
      <c r="E68" s="38" t="n"/>
      <c r="F68" s="39" t="n"/>
      <c r="G68" s="25">
        <f>IF($F68="","",IF(IFERROR(INDEX(Parámetros!$B$64:$B$68,MATCH($C68,Parámetros!$A$64:$A$68,0)),0)=1,ROUND($F68*Parámetros!$B$13,0),0))</f>
        <v/>
      </c>
      <c r="H68" s="25">
        <f>IF($F68="","",$F68+$G68)</f>
        <v/>
      </c>
      <c r="I68" s="38" t="n"/>
      <c r="J68" s="37" t="n"/>
      <c r="K68" s="38" t="n"/>
      <c r="L68" s="40">
        <f>IF($A68="","",YEAR($A68))</f>
        <v/>
      </c>
      <c r="M68" s="40">
        <f>IF($A68="","",MONTH($A68))</f>
        <v/>
      </c>
      <c r="N68" s="40">
        <f>IF($J68="","",YEAR($J68))</f>
        <v/>
      </c>
      <c r="O68" s="40">
        <f>IF($J68="","",MONTH($J68))</f>
        <v/>
      </c>
    </row>
    <row r="69">
      <c r="A69" s="37" t="n"/>
      <c r="B69" s="38" t="n"/>
      <c r="C69" s="38" t="n"/>
      <c r="D69" s="38" t="n"/>
      <c r="E69" s="38" t="n"/>
      <c r="F69" s="39" t="n"/>
      <c r="G69" s="25">
        <f>IF($F69="","",IF(IFERROR(INDEX(Parámetros!$B$64:$B$68,MATCH($C69,Parámetros!$A$64:$A$68,0)),0)=1,ROUND($F69*Parámetros!$B$13,0),0))</f>
        <v/>
      </c>
      <c r="H69" s="25">
        <f>IF($F69="","",$F69+$G69)</f>
        <v/>
      </c>
      <c r="I69" s="38" t="n"/>
      <c r="J69" s="37" t="n"/>
      <c r="K69" s="38" t="n"/>
      <c r="L69" s="40">
        <f>IF($A69="","",YEAR($A69))</f>
        <v/>
      </c>
      <c r="M69" s="40">
        <f>IF($A69="","",MONTH($A69))</f>
        <v/>
      </c>
      <c r="N69" s="40">
        <f>IF($J69="","",YEAR($J69))</f>
        <v/>
      </c>
      <c r="O69" s="40">
        <f>IF($J69="","",MONTH($J69))</f>
        <v/>
      </c>
    </row>
    <row r="70">
      <c r="A70" s="37" t="n"/>
      <c r="B70" s="38" t="n"/>
      <c r="C70" s="38" t="n"/>
      <c r="D70" s="38" t="n"/>
      <c r="E70" s="38" t="n"/>
      <c r="F70" s="39" t="n"/>
      <c r="G70" s="25">
        <f>IF($F70="","",IF(IFERROR(INDEX(Parámetros!$B$64:$B$68,MATCH($C70,Parámetros!$A$64:$A$68,0)),0)=1,ROUND($F70*Parámetros!$B$13,0),0))</f>
        <v/>
      </c>
      <c r="H70" s="25">
        <f>IF($F70="","",$F70+$G70)</f>
        <v/>
      </c>
      <c r="I70" s="38" t="n"/>
      <c r="J70" s="37" t="n"/>
      <c r="K70" s="38" t="n"/>
      <c r="L70" s="40">
        <f>IF($A70="","",YEAR($A70))</f>
        <v/>
      </c>
      <c r="M70" s="40">
        <f>IF($A70="","",MONTH($A70))</f>
        <v/>
      </c>
      <c r="N70" s="40">
        <f>IF($J70="","",YEAR($J70))</f>
        <v/>
      </c>
      <c r="O70" s="40">
        <f>IF($J70="","",MONTH($J70))</f>
        <v/>
      </c>
    </row>
    <row r="71">
      <c r="A71" s="37" t="n"/>
      <c r="B71" s="38" t="n"/>
      <c r="C71" s="38" t="n"/>
      <c r="D71" s="38" t="n"/>
      <c r="E71" s="38" t="n"/>
      <c r="F71" s="39" t="n"/>
      <c r="G71" s="25">
        <f>IF($F71="","",IF(IFERROR(INDEX(Parámetros!$B$64:$B$68,MATCH($C71,Parámetros!$A$64:$A$68,0)),0)=1,ROUND($F71*Parámetros!$B$13,0),0))</f>
        <v/>
      </c>
      <c r="H71" s="25">
        <f>IF($F71="","",$F71+$G71)</f>
        <v/>
      </c>
      <c r="I71" s="38" t="n"/>
      <c r="J71" s="37" t="n"/>
      <c r="K71" s="38" t="n"/>
      <c r="L71" s="40">
        <f>IF($A71="","",YEAR($A71))</f>
        <v/>
      </c>
      <c r="M71" s="40">
        <f>IF($A71="","",MONTH($A71))</f>
        <v/>
      </c>
      <c r="N71" s="40">
        <f>IF($J71="","",YEAR($J71))</f>
        <v/>
      </c>
      <c r="O71" s="40">
        <f>IF($J71="","",MONTH($J71))</f>
        <v/>
      </c>
    </row>
    <row r="72">
      <c r="A72" s="37" t="n"/>
      <c r="B72" s="38" t="n"/>
      <c r="C72" s="38" t="n"/>
      <c r="D72" s="38" t="n"/>
      <c r="E72" s="38" t="n"/>
      <c r="F72" s="39" t="n"/>
      <c r="G72" s="25">
        <f>IF($F72="","",IF(IFERROR(INDEX(Parámetros!$B$64:$B$68,MATCH($C72,Parámetros!$A$64:$A$68,0)),0)=1,ROUND($F72*Parámetros!$B$13,0),0))</f>
        <v/>
      </c>
      <c r="H72" s="25">
        <f>IF($F72="","",$F72+$G72)</f>
        <v/>
      </c>
      <c r="I72" s="38" t="n"/>
      <c r="J72" s="37" t="n"/>
      <c r="K72" s="38" t="n"/>
      <c r="L72" s="40">
        <f>IF($A72="","",YEAR($A72))</f>
        <v/>
      </c>
      <c r="M72" s="40">
        <f>IF($A72="","",MONTH($A72))</f>
        <v/>
      </c>
      <c r="N72" s="40">
        <f>IF($J72="","",YEAR($J72))</f>
        <v/>
      </c>
      <c r="O72" s="40">
        <f>IF($J72="","",MONTH($J72))</f>
        <v/>
      </c>
    </row>
    <row r="73">
      <c r="A73" s="37" t="n"/>
      <c r="B73" s="38" t="n"/>
      <c r="C73" s="38" t="n"/>
      <c r="D73" s="38" t="n"/>
      <c r="E73" s="38" t="n"/>
      <c r="F73" s="39" t="n"/>
      <c r="G73" s="25">
        <f>IF($F73="","",IF(IFERROR(INDEX(Parámetros!$B$64:$B$68,MATCH($C73,Parámetros!$A$64:$A$68,0)),0)=1,ROUND($F73*Parámetros!$B$13,0),0))</f>
        <v/>
      </c>
      <c r="H73" s="25">
        <f>IF($F73="","",$F73+$G73)</f>
        <v/>
      </c>
      <c r="I73" s="38" t="n"/>
      <c r="J73" s="37" t="n"/>
      <c r="K73" s="38" t="n"/>
      <c r="L73" s="40">
        <f>IF($A73="","",YEAR($A73))</f>
        <v/>
      </c>
      <c r="M73" s="40">
        <f>IF($A73="","",MONTH($A73))</f>
        <v/>
      </c>
      <c r="N73" s="40">
        <f>IF($J73="","",YEAR($J73))</f>
        <v/>
      </c>
      <c r="O73" s="40">
        <f>IF($J73="","",MONTH($J73))</f>
        <v/>
      </c>
    </row>
    <row r="74">
      <c r="A74" s="37" t="n"/>
      <c r="B74" s="38" t="n"/>
      <c r="C74" s="38" t="n"/>
      <c r="D74" s="38" t="n"/>
      <c r="E74" s="38" t="n"/>
      <c r="F74" s="39" t="n"/>
      <c r="G74" s="25">
        <f>IF($F74="","",IF(IFERROR(INDEX(Parámetros!$B$64:$B$68,MATCH($C74,Parámetros!$A$64:$A$68,0)),0)=1,ROUND($F74*Parámetros!$B$13,0),0))</f>
        <v/>
      </c>
      <c r="H74" s="25">
        <f>IF($F74="","",$F74+$G74)</f>
        <v/>
      </c>
      <c r="I74" s="38" t="n"/>
      <c r="J74" s="37" t="n"/>
      <c r="K74" s="38" t="n"/>
      <c r="L74" s="40">
        <f>IF($A74="","",YEAR($A74))</f>
        <v/>
      </c>
      <c r="M74" s="40">
        <f>IF($A74="","",MONTH($A74))</f>
        <v/>
      </c>
      <c r="N74" s="40">
        <f>IF($J74="","",YEAR($J74))</f>
        <v/>
      </c>
      <c r="O74" s="40">
        <f>IF($J74="","",MONTH($J74))</f>
        <v/>
      </c>
    </row>
    <row r="75">
      <c r="A75" s="37" t="n"/>
      <c r="B75" s="38" t="n"/>
      <c r="C75" s="38" t="n"/>
      <c r="D75" s="38" t="n"/>
      <c r="E75" s="38" t="n"/>
      <c r="F75" s="39" t="n"/>
      <c r="G75" s="25">
        <f>IF($F75="","",IF(IFERROR(INDEX(Parámetros!$B$64:$B$68,MATCH($C75,Parámetros!$A$64:$A$68,0)),0)=1,ROUND($F75*Parámetros!$B$13,0),0))</f>
        <v/>
      </c>
      <c r="H75" s="25">
        <f>IF($F75="","",$F75+$G75)</f>
        <v/>
      </c>
      <c r="I75" s="38" t="n"/>
      <c r="J75" s="37" t="n"/>
      <c r="K75" s="38" t="n"/>
      <c r="L75" s="40">
        <f>IF($A75="","",YEAR($A75))</f>
        <v/>
      </c>
      <c r="M75" s="40">
        <f>IF($A75="","",MONTH($A75))</f>
        <v/>
      </c>
      <c r="N75" s="40">
        <f>IF($J75="","",YEAR($J75))</f>
        <v/>
      </c>
      <c r="O75" s="40">
        <f>IF($J75="","",MONTH($J75))</f>
        <v/>
      </c>
    </row>
    <row r="76">
      <c r="A76" s="37" t="n"/>
      <c r="B76" s="38" t="n"/>
      <c r="C76" s="38" t="n"/>
      <c r="D76" s="38" t="n"/>
      <c r="E76" s="38" t="n"/>
      <c r="F76" s="39" t="n"/>
      <c r="G76" s="25">
        <f>IF($F76="","",IF(IFERROR(INDEX(Parámetros!$B$64:$B$68,MATCH($C76,Parámetros!$A$64:$A$68,0)),0)=1,ROUND($F76*Parámetros!$B$13,0),0))</f>
        <v/>
      </c>
      <c r="H76" s="25">
        <f>IF($F76="","",$F76+$G76)</f>
        <v/>
      </c>
      <c r="I76" s="38" t="n"/>
      <c r="J76" s="37" t="n"/>
      <c r="K76" s="38" t="n"/>
      <c r="L76" s="40">
        <f>IF($A76="","",YEAR($A76))</f>
        <v/>
      </c>
      <c r="M76" s="40">
        <f>IF($A76="","",MONTH($A76))</f>
        <v/>
      </c>
      <c r="N76" s="40">
        <f>IF($J76="","",YEAR($J76))</f>
        <v/>
      </c>
      <c r="O76" s="40">
        <f>IF($J76="","",MONTH($J76))</f>
        <v/>
      </c>
    </row>
    <row r="77">
      <c r="A77" s="37" t="n"/>
      <c r="B77" s="38" t="n"/>
      <c r="C77" s="38" t="n"/>
      <c r="D77" s="38" t="n"/>
      <c r="E77" s="38" t="n"/>
      <c r="F77" s="39" t="n"/>
      <c r="G77" s="25">
        <f>IF($F77="","",IF(IFERROR(INDEX(Parámetros!$B$64:$B$68,MATCH($C77,Parámetros!$A$64:$A$68,0)),0)=1,ROUND($F77*Parámetros!$B$13,0),0))</f>
        <v/>
      </c>
      <c r="H77" s="25">
        <f>IF($F77="","",$F77+$G77)</f>
        <v/>
      </c>
      <c r="I77" s="38" t="n"/>
      <c r="J77" s="37" t="n"/>
      <c r="K77" s="38" t="n"/>
      <c r="L77" s="40">
        <f>IF($A77="","",YEAR($A77))</f>
        <v/>
      </c>
      <c r="M77" s="40">
        <f>IF($A77="","",MONTH($A77))</f>
        <v/>
      </c>
      <c r="N77" s="40">
        <f>IF($J77="","",YEAR($J77))</f>
        <v/>
      </c>
      <c r="O77" s="40">
        <f>IF($J77="","",MONTH($J77))</f>
        <v/>
      </c>
    </row>
    <row r="78">
      <c r="A78" s="37" t="n"/>
      <c r="B78" s="38" t="n"/>
      <c r="C78" s="38" t="n"/>
      <c r="D78" s="38" t="n"/>
      <c r="E78" s="38" t="n"/>
      <c r="F78" s="39" t="n"/>
      <c r="G78" s="25">
        <f>IF($F78="","",IF(IFERROR(INDEX(Parámetros!$B$64:$B$68,MATCH($C78,Parámetros!$A$64:$A$68,0)),0)=1,ROUND($F78*Parámetros!$B$13,0),0))</f>
        <v/>
      </c>
      <c r="H78" s="25">
        <f>IF($F78="","",$F78+$G78)</f>
        <v/>
      </c>
      <c r="I78" s="38" t="n"/>
      <c r="J78" s="37" t="n"/>
      <c r="K78" s="38" t="n"/>
      <c r="L78" s="40">
        <f>IF($A78="","",YEAR($A78))</f>
        <v/>
      </c>
      <c r="M78" s="40">
        <f>IF($A78="","",MONTH($A78))</f>
        <v/>
      </c>
      <c r="N78" s="40">
        <f>IF($J78="","",YEAR($J78))</f>
        <v/>
      </c>
      <c r="O78" s="40">
        <f>IF($J78="","",MONTH($J78))</f>
        <v/>
      </c>
    </row>
    <row r="79">
      <c r="A79" s="37" t="n"/>
      <c r="B79" s="38" t="n"/>
      <c r="C79" s="38" t="n"/>
      <c r="D79" s="38" t="n"/>
      <c r="E79" s="38" t="n"/>
      <c r="F79" s="39" t="n"/>
      <c r="G79" s="25">
        <f>IF($F79="","",IF(IFERROR(INDEX(Parámetros!$B$64:$B$68,MATCH($C79,Parámetros!$A$64:$A$68,0)),0)=1,ROUND($F79*Parámetros!$B$13,0),0))</f>
        <v/>
      </c>
      <c r="H79" s="25">
        <f>IF($F79="","",$F79+$G79)</f>
        <v/>
      </c>
      <c r="I79" s="38" t="n"/>
      <c r="J79" s="37" t="n"/>
      <c r="K79" s="38" t="n"/>
      <c r="L79" s="40">
        <f>IF($A79="","",YEAR($A79))</f>
        <v/>
      </c>
      <c r="M79" s="40">
        <f>IF($A79="","",MONTH($A79))</f>
        <v/>
      </c>
      <c r="N79" s="40">
        <f>IF($J79="","",YEAR($J79))</f>
        <v/>
      </c>
      <c r="O79" s="40">
        <f>IF($J79="","",MONTH($J79))</f>
        <v/>
      </c>
    </row>
    <row r="80">
      <c r="A80" s="37" t="n"/>
      <c r="B80" s="38" t="n"/>
      <c r="C80" s="38" t="n"/>
      <c r="D80" s="38" t="n"/>
      <c r="E80" s="38" t="n"/>
      <c r="F80" s="39" t="n"/>
      <c r="G80" s="25">
        <f>IF($F80="","",IF(IFERROR(INDEX(Parámetros!$B$64:$B$68,MATCH($C80,Parámetros!$A$64:$A$68,0)),0)=1,ROUND($F80*Parámetros!$B$13,0),0))</f>
        <v/>
      </c>
      <c r="H80" s="25">
        <f>IF($F80="","",$F80+$G80)</f>
        <v/>
      </c>
      <c r="I80" s="38" t="n"/>
      <c r="J80" s="37" t="n"/>
      <c r="K80" s="38" t="n"/>
      <c r="L80" s="40">
        <f>IF($A80="","",YEAR($A80))</f>
        <v/>
      </c>
      <c r="M80" s="40">
        <f>IF($A80="","",MONTH($A80))</f>
        <v/>
      </c>
      <c r="N80" s="40">
        <f>IF($J80="","",YEAR($J80))</f>
        <v/>
      </c>
      <c r="O80" s="40">
        <f>IF($J80="","",MONTH($J80))</f>
        <v/>
      </c>
    </row>
    <row r="81">
      <c r="A81" s="37" t="n"/>
      <c r="B81" s="38" t="n"/>
      <c r="C81" s="38" t="n"/>
      <c r="D81" s="38" t="n"/>
      <c r="E81" s="38" t="n"/>
      <c r="F81" s="39" t="n"/>
      <c r="G81" s="25">
        <f>IF($F81="","",IF(IFERROR(INDEX(Parámetros!$B$64:$B$68,MATCH($C81,Parámetros!$A$64:$A$68,0)),0)=1,ROUND($F81*Parámetros!$B$13,0),0))</f>
        <v/>
      </c>
      <c r="H81" s="25">
        <f>IF($F81="","",$F81+$G81)</f>
        <v/>
      </c>
      <c r="I81" s="38" t="n"/>
      <c r="J81" s="37" t="n"/>
      <c r="K81" s="38" t="n"/>
      <c r="L81" s="40">
        <f>IF($A81="","",YEAR($A81))</f>
        <v/>
      </c>
      <c r="M81" s="40">
        <f>IF($A81="","",MONTH($A81))</f>
        <v/>
      </c>
      <c r="N81" s="40">
        <f>IF($J81="","",YEAR($J81))</f>
        <v/>
      </c>
      <c r="O81" s="40">
        <f>IF($J81="","",MONTH($J81))</f>
        <v/>
      </c>
    </row>
    <row r="82">
      <c r="A82" s="37" t="n"/>
      <c r="B82" s="38" t="n"/>
      <c r="C82" s="38" t="n"/>
      <c r="D82" s="38" t="n"/>
      <c r="E82" s="38" t="n"/>
      <c r="F82" s="39" t="n"/>
      <c r="G82" s="25">
        <f>IF($F82="","",IF(IFERROR(INDEX(Parámetros!$B$64:$B$68,MATCH($C82,Parámetros!$A$64:$A$68,0)),0)=1,ROUND($F82*Parámetros!$B$13,0),0))</f>
        <v/>
      </c>
      <c r="H82" s="25">
        <f>IF($F82="","",$F82+$G82)</f>
        <v/>
      </c>
      <c r="I82" s="38" t="n"/>
      <c r="J82" s="37" t="n"/>
      <c r="K82" s="38" t="n"/>
      <c r="L82" s="40">
        <f>IF($A82="","",YEAR($A82))</f>
        <v/>
      </c>
      <c r="M82" s="40">
        <f>IF($A82="","",MONTH($A82))</f>
        <v/>
      </c>
      <c r="N82" s="40">
        <f>IF($J82="","",YEAR($J82))</f>
        <v/>
      </c>
      <c r="O82" s="40">
        <f>IF($J82="","",MONTH($J82))</f>
        <v/>
      </c>
    </row>
    <row r="83">
      <c r="A83" s="37" t="n"/>
      <c r="B83" s="38" t="n"/>
      <c r="C83" s="38" t="n"/>
      <c r="D83" s="38" t="n"/>
      <c r="E83" s="38" t="n"/>
      <c r="F83" s="39" t="n"/>
      <c r="G83" s="25">
        <f>IF($F83="","",IF(IFERROR(INDEX(Parámetros!$B$64:$B$68,MATCH($C83,Parámetros!$A$64:$A$68,0)),0)=1,ROUND($F83*Parámetros!$B$13,0),0))</f>
        <v/>
      </c>
      <c r="H83" s="25">
        <f>IF($F83="","",$F83+$G83)</f>
        <v/>
      </c>
      <c r="I83" s="38" t="n"/>
      <c r="J83" s="37" t="n"/>
      <c r="K83" s="38" t="n"/>
      <c r="L83" s="40">
        <f>IF($A83="","",YEAR($A83))</f>
        <v/>
      </c>
      <c r="M83" s="40">
        <f>IF($A83="","",MONTH($A83))</f>
        <v/>
      </c>
      <c r="N83" s="40">
        <f>IF($J83="","",YEAR($J83))</f>
        <v/>
      </c>
      <c r="O83" s="40">
        <f>IF($J83="","",MONTH($J83))</f>
        <v/>
      </c>
    </row>
    <row r="84">
      <c r="A84" s="37" t="n"/>
      <c r="B84" s="38" t="n"/>
      <c r="C84" s="38" t="n"/>
      <c r="D84" s="38" t="n"/>
      <c r="E84" s="38" t="n"/>
      <c r="F84" s="39" t="n"/>
      <c r="G84" s="25">
        <f>IF($F84="","",IF(IFERROR(INDEX(Parámetros!$B$64:$B$68,MATCH($C84,Parámetros!$A$64:$A$68,0)),0)=1,ROUND($F84*Parámetros!$B$13,0),0))</f>
        <v/>
      </c>
      <c r="H84" s="25">
        <f>IF($F84="","",$F84+$G84)</f>
        <v/>
      </c>
      <c r="I84" s="38" t="n"/>
      <c r="J84" s="37" t="n"/>
      <c r="K84" s="38" t="n"/>
      <c r="L84" s="40">
        <f>IF($A84="","",YEAR($A84))</f>
        <v/>
      </c>
      <c r="M84" s="40">
        <f>IF($A84="","",MONTH($A84))</f>
        <v/>
      </c>
      <c r="N84" s="40">
        <f>IF($J84="","",YEAR($J84))</f>
        <v/>
      </c>
      <c r="O84" s="40">
        <f>IF($J84="","",MONTH($J84))</f>
        <v/>
      </c>
    </row>
    <row r="85">
      <c r="A85" s="37" t="n"/>
      <c r="B85" s="38" t="n"/>
      <c r="C85" s="38" t="n"/>
      <c r="D85" s="38" t="n"/>
      <c r="E85" s="38" t="n"/>
      <c r="F85" s="39" t="n"/>
      <c r="G85" s="25">
        <f>IF($F85="","",IF(IFERROR(INDEX(Parámetros!$B$64:$B$68,MATCH($C85,Parámetros!$A$64:$A$68,0)),0)=1,ROUND($F85*Parámetros!$B$13,0),0))</f>
        <v/>
      </c>
      <c r="H85" s="25">
        <f>IF($F85="","",$F85+$G85)</f>
        <v/>
      </c>
      <c r="I85" s="38" t="n"/>
      <c r="J85" s="37" t="n"/>
      <c r="K85" s="38" t="n"/>
      <c r="L85" s="40">
        <f>IF($A85="","",YEAR($A85))</f>
        <v/>
      </c>
      <c r="M85" s="40">
        <f>IF($A85="","",MONTH($A85))</f>
        <v/>
      </c>
      <c r="N85" s="40">
        <f>IF($J85="","",YEAR($J85))</f>
        <v/>
      </c>
      <c r="O85" s="40">
        <f>IF($J85="","",MONTH($J85))</f>
        <v/>
      </c>
    </row>
    <row r="86">
      <c r="A86" s="37" t="n"/>
      <c r="B86" s="38" t="n"/>
      <c r="C86" s="38" t="n"/>
      <c r="D86" s="38" t="n"/>
      <c r="E86" s="38" t="n"/>
      <c r="F86" s="39" t="n"/>
      <c r="G86" s="25">
        <f>IF($F86="","",IF(IFERROR(INDEX(Parámetros!$B$64:$B$68,MATCH($C86,Parámetros!$A$64:$A$68,0)),0)=1,ROUND($F86*Parámetros!$B$13,0),0))</f>
        <v/>
      </c>
      <c r="H86" s="25">
        <f>IF($F86="","",$F86+$G86)</f>
        <v/>
      </c>
      <c r="I86" s="38" t="n"/>
      <c r="J86" s="37" t="n"/>
      <c r="K86" s="38" t="n"/>
      <c r="L86" s="40">
        <f>IF($A86="","",YEAR($A86))</f>
        <v/>
      </c>
      <c r="M86" s="40">
        <f>IF($A86="","",MONTH($A86))</f>
        <v/>
      </c>
      <c r="N86" s="40">
        <f>IF($J86="","",YEAR($J86))</f>
        <v/>
      </c>
      <c r="O86" s="40">
        <f>IF($J86="","",MONTH($J86))</f>
        <v/>
      </c>
    </row>
    <row r="87">
      <c r="A87" s="37" t="n"/>
      <c r="B87" s="38" t="n"/>
      <c r="C87" s="38" t="n"/>
      <c r="D87" s="38" t="n"/>
      <c r="E87" s="38" t="n"/>
      <c r="F87" s="39" t="n"/>
      <c r="G87" s="25">
        <f>IF($F87="","",IF(IFERROR(INDEX(Parámetros!$B$64:$B$68,MATCH($C87,Parámetros!$A$64:$A$68,0)),0)=1,ROUND($F87*Parámetros!$B$13,0),0))</f>
        <v/>
      </c>
      <c r="H87" s="25">
        <f>IF($F87="","",$F87+$G87)</f>
        <v/>
      </c>
      <c r="I87" s="38" t="n"/>
      <c r="J87" s="37" t="n"/>
      <c r="K87" s="38" t="n"/>
      <c r="L87" s="40">
        <f>IF($A87="","",YEAR($A87))</f>
        <v/>
      </c>
      <c r="M87" s="40">
        <f>IF($A87="","",MONTH($A87))</f>
        <v/>
      </c>
      <c r="N87" s="40">
        <f>IF($J87="","",YEAR($J87))</f>
        <v/>
      </c>
      <c r="O87" s="40">
        <f>IF($J87="","",MONTH($J87))</f>
        <v/>
      </c>
    </row>
    <row r="88">
      <c r="A88" s="37" t="n"/>
      <c r="B88" s="38" t="n"/>
      <c r="C88" s="38" t="n"/>
      <c r="D88" s="38" t="n"/>
      <c r="E88" s="38" t="n"/>
      <c r="F88" s="39" t="n"/>
      <c r="G88" s="25">
        <f>IF($F88="","",IF(IFERROR(INDEX(Parámetros!$B$64:$B$68,MATCH($C88,Parámetros!$A$64:$A$68,0)),0)=1,ROUND($F88*Parámetros!$B$13,0),0))</f>
        <v/>
      </c>
      <c r="H88" s="25">
        <f>IF($F88="","",$F88+$G88)</f>
        <v/>
      </c>
      <c r="I88" s="38" t="n"/>
      <c r="J88" s="37" t="n"/>
      <c r="K88" s="38" t="n"/>
      <c r="L88" s="40">
        <f>IF($A88="","",YEAR($A88))</f>
        <v/>
      </c>
      <c r="M88" s="40">
        <f>IF($A88="","",MONTH($A88))</f>
        <v/>
      </c>
      <c r="N88" s="40">
        <f>IF($J88="","",YEAR($J88))</f>
        <v/>
      </c>
      <c r="O88" s="40">
        <f>IF($J88="","",MONTH($J88))</f>
        <v/>
      </c>
    </row>
    <row r="89">
      <c r="A89" s="37" t="n"/>
      <c r="B89" s="38" t="n"/>
      <c r="C89" s="38" t="n"/>
      <c r="D89" s="38" t="n"/>
      <c r="E89" s="38" t="n"/>
      <c r="F89" s="39" t="n"/>
      <c r="G89" s="25">
        <f>IF($F89="","",IF(IFERROR(INDEX(Parámetros!$B$64:$B$68,MATCH($C89,Parámetros!$A$64:$A$68,0)),0)=1,ROUND($F89*Parámetros!$B$13,0),0))</f>
        <v/>
      </c>
      <c r="H89" s="25">
        <f>IF($F89="","",$F89+$G89)</f>
        <v/>
      </c>
      <c r="I89" s="38" t="n"/>
      <c r="J89" s="37" t="n"/>
      <c r="K89" s="38" t="n"/>
      <c r="L89" s="40">
        <f>IF($A89="","",YEAR($A89))</f>
        <v/>
      </c>
      <c r="M89" s="40">
        <f>IF($A89="","",MONTH($A89))</f>
        <v/>
      </c>
      <c r="N89" s="40">
        <f>IF($J89="","",YEAR($J89))</f>
        <v/>
      </c>
      <c r="O89" s="40">
        <f>IF($J89="","",MONTH($J89))</f>
        <v/>
      </c>
    </row>
    <row r="90">
      <c r="A90" s="37" t="n"/>
      <c r="B90" s="38" t="n"/>
      <c r="C90" s="38" t="n"/>
      <c r="D90" s="38" t="n"/>
      <c r="E90" s="38" t="n"/>
      <c r="F90" s="39" t="n"/>
      <c r="G90" s="25">
        <f>IF($F90="","",IF(IFERROR(INDEX(Parámetros!$B$64:$B$68,MATCH($C90,Parámetros!$A$64:$A$68,0)),0)=1,ROUND($F90*Parámetros!$B$13,0),0))</f>
        <v/>
      </c>
      <c r="H90" s="25">
        <f>IF($F90="","",$F90+$G90)</f>
        <v/>
      </c>
      <c r="I90" s="38" t="n"/>
      <c r="J90" s="37" t="n"/>
      <c r="K90" s="38" t="n"/>
      <c r="L90" s="40">
        <f>IF($A90="","",YEAR($A90))</f>
        <v/>
      </c>
      <c r="M90" s="40">
        <f>IF($A90="","",MONTH($A90))</f>
        <v/>
      </c>
      <c r="N90" s="40">
        <f>IF($J90="","",YEAR($J90))</f>
        <v/>
      </c>
      <c r="O90" s="40">
        <f>IF($J90="","",MONTH($J90))</f>
        <v/>
      </c>
    </row>
    <row r="91">
      <c r="A91" s="37" t="n"/>
      <c r="B91" s="38" t="n"/>
      <c r="C91" s="38" t="n"/>
      <c r="D91" s="38" t="n"/>
      <c r="E91" s="38" t="n"/>
      <c r="F91" s="39" t="n"/>
      <c r="G91" s="25">
        <f>IF($F91="","",IF(IFERROR(INDEX(Parámetros!$B$64:$B$68,MATCH($C91,Parámetros!$A$64:$A$68,0)),0)=1,ROUND($F91*Parámetros!$B$13,0),0))</f>
        <v/>
      </c>
      <c r="H91" s="25">
        <f>IF($F91="","",$F91+$G91)</f>
        <v/>
      </c>
      <c r="I91" s="38" t="n"/>
      <c r="J91" s="37" t="n"/>
      <c r="K91" s="38" t="n"/>
      <c r="L91" s="40">
        <f>IF($A91="","",YEAR($A91))</f>
        <v/>
      </c>
      <c r="M91" s="40">
        <f>IF($A91="","",MONTH($A91))</f>
        <v/>
      </c>
      <c r="N91" s="40">
        <f>IF($J91="","",YEAR($J91))</f>
        <v/>
      </c>
      <c r="O91" s="40">
        <f>IF($J91="","",MONTH($J91))</f>
        <v/>
      </c>
    </row>
    <row r="92">
      <c r="A92" s="37" t="n"/>
      <c r="B92" s="38" t="n"/>
      <c r="C92" s="38" t="n"/>
      <c r="D92" s="38" t="n"/>
      <c r="E92" s="38" t="n"/>
      <c r="F92" s="39" t="n"/>
      <c r="G92" s="25">
        <f>IF($F92="","",IF(IFERROR(INDEX(Parámetros!$B$64:$B$68,MATCH($C92,Parámetros!$A$64:$A$68,0)),0)=1,ROUND($F92*Parámetros!$B$13,0),0))</f>
        <v/>
      </c>
      <c r="H92" s="25">
        <f>IF($F92="","",$F92+$G92)</f>
        <v/>
      </c>
      <c r="I92" s="38" t="n"/>
      <c r="J92" s="37" t="n"/>
      <c r="K92" s="38" t="n"/>
      <c r="L92" s="40">
        <f>IF($A92="","",YEAR($A92))</f>
        <v/>
      </c>
      <c r="M92" s="40">
        <f>IF($A92="","",MONTH($A92))</f>
        <v/>
      </c>
      <c r="N92" s="40">
        <f>IF($J92="","",YEAR($J92))</f>
        <v/>
      </c>
      <c r="O92" s="40">
        <f>IF($J92="","",MONTH($J92))</f>
        <v/>
      </c>
    </row>
    <row r="93">
      <c r="A93" s="37" t="n"/>
      <c r="B93" s="38" t="n"/>
      <c r="C93" s="38" t="n"/>
      <c r="D93" s="38" t="n"/>
      <c r="E93" s="38" t="n"/>
      <c r="F93" s="39" t="n"/>
      <c r="G93" s="25">
        <f>IF($F93="","",IF(IFERROR(INDEX(Parámetros!$B$64:$B$68,MATCH($C93,Parámetros!$A$64:$A$68,0)),0)=1,ROUND($F93*Parámetros!$B$13,0),0))</f>
        <v/>
      </c>
      <c r="H93" s="25">
        <f>IF($F93="","",$F93+$G93)</f>
        <v/>
      </c>
      <c r="I93" s="38" t="n"/>
      <c r="J93" s="37" t="n"/>
      <c r="K93" s="38" t="n"/>
      <c r="L93" s="40">
        <f>IF($A93="","",YEAR($A93))</f>
        <v/>
      </c>
      <c r="M93" s="40">
        <f>IF($A93="","",MONTH($A93))</f>
        <v/>
      </c>
      <c r="N93" s="40">
        <f>IF($J93="","",YEAR($J93))</f>
        <v/>
      </c>
      <c r="O93" s="40">
        <f>IF($J93="","",MONTH($J93))</f>
        <v/>
      </c>
    </row>
    <row r="94">
      <c r="A94" s="37" t="n"/>
      <c r="B94" s="38" t="n"/>
      <c r="C94" s="38" t="n"/>
      <c r="D94" s="38" t="n"/>
      <c r="E94" s="38" t="n"/>
      <c r="F94" s="39" t="n"/>
      <c r="G94" s="25">
        <f>IF($F94="","",IF(IFERROR(INDEX(Parámetros!$B$64:$B$68,MATCH($C94,Parámetros!$A$64:$A$68,0)),0)=1,ROUND($F94*Parámetros!$B$13,0),0))</f>
        <v/>
      </c>
      <c r="H94" s="25">
        <f>IF($F94="","",$F94+$G94)</f>
        <v/>
      </c>
      <c r="I94" s="38" t="n"/>
      <c r="J94" s="37" t="n"/>
      <c r="K94" s="38" t="n"/>
      <c r="L94" s="40">
        <f>IF($A94="","",YEAR($A94))</f>
        <v/>
      </c>
      <c r="M94" s="40">
        <f>IF($A94="","",MONTH($A94))</f>
        <v/>
      </c>
      <c r="N94" s="40">
        <f>IF($J94="","",YEAR($J94))</f>
        <v/>
      </c>
      <c r="O94" s="40">
        <f>IF($J94="","",MONTH($J94))</f>
        <v/>
      </c>
    </row>
    <row r="95">
      <c r="A95" s="37" t="n"/>
      <c r="B95" s="38" t="n"/>
      <c r="C95" s="38" t="n"/>
      <c r="D95" s="38" t="n"/>
      <c r="E95" s="38" t="n"/>
      <c r="F95" s="39" t="n"/>
      <c r="G95" s="25">
        <f>IF($F95="","",IF(IFERROR(INDEX(Parámetros!$B$64:$B$68,MATCH($C95,Parámetros!$A$64:$A$68,0)),0)=1,ROUND($F95*Parámetros!$B$13,0),0))</f>
        <v/>
      </c>
      <c r="H95" s="25">
        <f>IF($F95="","",$F95+$G95)</f>
        <v/>
      </c>
      <c r="I95" s="38" t="n"/>
      <c r="J95" s="37" t="n"/>
      <c r="K95" s="38" t="n"/>
      <c r="L95" s="40">
        <f>IF($A95="","",YEAR($A95))</f>
        <v/>
      </c>
      <c r="M95" s="40">
        <f>IF($A95="","",MONTH($A95))</f>
        <v/>
      </c>
      <c r="N95" s="40">
        <f>IF($J95="","",YEAR($J95))</f>
        <v/>
      </c>
      <c r="O95" s="40">
        <f>IF($J95="","",MONTH($J95))</f>
        <v/>
      </c>
    </row>
    <row r="96">
      <c r="A96" s="37" t="n"/>
      <c r="B96" s="38" t="n"/>
      <c r="C96" s="38" t="n"/>
      <c r="D96" s="38" t="n"/>
      <c r="E96" s="38" t="n"/>
      <c r="F96" s="39" t="n"/>
      <c r="G96" s="25">
        <f>IF($F96="","",IF(IFERROR(INDEX(Parámetros!$B$64:$B$68,MATCH($C96,Parámetros!$A$64:$A$68,0)),0)=1,ROUND($F96*Parámetros!$B$13,0),0))</f>
        <v/>
      </c>
      <c r="H96" s="25">
        <f>IF($F96="","",$F96+$G96)</f>
        <v/>
      </c>
      <c r="I96" s="38" t="n"/>
      <c r="J96" s="37" t="n"/>
      <c r="K96" s="38" t="n"/>
      <c r="L96" s="40">
        <f>IF($A96="","",YEAR($A96))</f>
        <v/>
      </c>
      <c r="M96" s="40">
        <f>IF($A96="","",MONTH($A96))</f>
        <v/>
      </c>
      <c r="N96" s="40">
        <f>IF($J96="","",YEAR($J96))</f>
        <v/>
      </c>
      <c r="O96" s="40">
        <f>IF($J96="","",MONTH($J96))</f>
        <v/>
      </c>
    </row>
    <row r="97">
      <c r="A97" s="37" t="n"/>
      <c r="B97" s="38" t="n"/>
      <c r="C97" s="38" t="n"/>
      <c r="D97" s="38" t="n"/>
      <c r="E97" s="38" t="n"/>
      <c r="F97" s="39" t="n"/>
      <c r="G97" s="25">
        <f>IF($F97="","",IF(IFERROR(INDEX(Parámetros!$B$64:$B$68,MATCH($C97,Parámetros!$A$64:$A$68,0)),0)=1,ROUND($F97*Parámetros!$B$13,0),0))</f>
        <v/>
      </c>
      <c r="H97" s="25">
        <f>IF($F97="","",$F97+$G97)</f>
        <v/>
      </c>
      <c r="I97" s="38" t="n"/>
      <c r="J97" s="37" t="n"/>
      <c r="K97" s="38" t="n"/>
      <c r="L97" s="40">
        <f>IF($A97="","",YEAR($A97))</f>
        <v/>
      </c>
      <c r="M97" s="40">
        <f>IF($A97="","",MONTH($A97))</f>
        <v/>
      </c>
      <c r="N97" s="40">
        <f>IF($J97="","",YEAR($J97))</f>
        <v/>
      </c>
      <c r="O97" s="40">
        <f>IF($J97="","",MONTH($J97))</f>
        <v/>
      </c>
    </row>
    <row r="98">
      <c r="A98" s="37" t="n"/>
      <c r="B98" s="38" t="n"/>
      <c r="C98" s="38" t="n"/>
      <c r="D98" s="38" t="n"/>
      <c r="E98" s="38" t="n"/>
      <c r="F98" s="39" t="n"/>
      <c r="G98" s="25">
        <f>IF($F98="","",IF(IFERROR(INDEX(Parámetros!$B$64:$B$68,MATCH($C98,Parámetros!$A$64:$A$68,0)),0)=1,ROUND($F98*Parámetros!$B$13,0),0))</f>
        <v/>
      </c>
      <c r="H98" s="25">
        <f>IF($F98="","",$F98+$G98)</f>
        <v/>
      </c>
      <c r="I98" s="38" t="n"/>
      <c r="J98" s="37" t="n"/>
      <c r="K98" s="38" t="n"/>
      <c r="L98" s="40">
        <f>IF($A98="","",YEAR($A98))</f>
        <v/>
      </c>
      <c r="M98" s="40">
        <f>IF($A98="","",MONTH($A98))</f>
        <v/>
      </c>
      <c r="N98" s="40">
        <f>IF($J98="","",YEAR($J98))</f>
        <v/>
      </c>
      <c r="O98" s="40">
        <f>IF($J98="","",MONTH($J98))</f>
        <v/>
      </c>
    </row>
    <row r="99">
      <c r="A99" s="37" t="n"/>
      <c r="B99" s="38" t="n"/>
      <c r="C99" s="38" t="n"/>
      <c r="D99" s="38" t="n"/>
      <c r="E99" s="38" t="n"/>
      <c r="F99" s="39" t="n"/>
      <c r="G99" s="25">
        <f>IF($F99="","",IF(IFERROR(INDEX(Parámetros!$B$64:$B$68,MATCH($C99,Parámetros!$A$64:$A$68,0)),0)=1,ROUND($F99*Parámetros!$B$13,0),0))</f>
        <v/>
      </c>
      <c r="H99" s="25">
        <f>IF($F99="","",$F99+$G99)</f>
        <v/>
      </c>
      <c r="I99" s="38" t="n"/>
      <c r="J99" s="37" t="n"/>
      <c r="K99" s="38" t="n"/>
      <c r="L99" s="40">
        <f>IF($A99="","",YEAR($A99))</f>
        <v/>
      </c>
      <c r="M99" s="40">
        <f>IF($A99="","",MONTH($A99))</f>
        <v/>
      </c>
      <c r="N99" s="40">
        <f>IF($J99="","",YEAR($J99))</f>
        <v/>
      </c>
      <c r="O99" s="40">
        <f>IF($J99="","",MONTH($J99))</f>
        <v/>
      </c>
    </row>
    <row r="100">
      <c r="A100" s="37" t="n"/>
      <c r="B100" s="38" t="n"/>
      <c r="C100" s="38" t="n"/>
      <c r="D100" s="38" t="n"/>
      <c r="E100" s="38" t="n"/>
      <c r="F100" s="39" t="n"/>
      <c r="G100" s="25">
        <f>IF($F100="","",IF(IFERROR(INDEX(Parámetros!$B$64:$B$68,MATCH($C100,Parámetros!$A$64:$A$68,0)),0)=1,ROUND($F100*Parámetros!$B$13,0),0))</f>
        <v/>
      </c>
      <c r="H100" s="25">
        <f>IF($F100="","",$F100+$G100)</f>
        <v/>
      </c>
      <c r="I100" s="38" t="n"/>
      <c r="J100" s="37" t="n"/>
      <c r="K100" s="38" t="n"/>
      <c r="L100" s="40">
        <f>IF($A100="","",YEAR($A100))</f>
        <v/>
      </c>
      <c r="M100" s="40">
        <f>IF($A100="","",MONTH($A100))</f>
        <v/>
      </c>
      <c r="N100" s="40">
        <f>IF($J100="","",YEAR($J100))</f>
        <v/>
      </c>
      <c r="O100" s="40">
        <f>IF($J100="","",MONTH($J100))</f>
        <v/>
      </c>
    </row>
    <row r="101">
      <c r="A101" s="37" t="n"/>
      <c r="B101" s="38" t="n"/>
      <c r="C101" s="38" t="n"/>
      <c r="D101" s="38" t="n"/>
      <c r="E101" s="38" t="n"/>
      <c r="F101" s="39" t="n"/>
      <c r="G101" s="25">
        <f>IF($F101="","",IF(IFERROR(INDEX(Parámetros!$B$64:$B$68,MATCH($C101,Parámetros!$A$64:$A$68,0)),0)=1,ROUND($F101*Parámetros!$B$13,0),0))</f>
        <v/>
      </c>
      <c r="H101" s="25">
        <f>IF($F101="","",$F101+$G101)</f>
        <v/>
      </c>
      <c r="I101" s="38" t="n"/>
      <c r="J101" s="37" t="n"/>
      <c r="K101" s="38" t="n"/>
      <c r="L101" s="40">
        <f>IF($A101="","",YEAR($A101))</f>
        <v/>
      </c>
      <c r="M101" s="40">
        <f>IF($A101="","",MONTH($A101))</f>
        <v/>
      </c>
      <c r="N101" s="40">
        <f>IF($J101="","",YEAR($J101))</f>
        <v/>
      </c>
      <c r="O101" s="40">
        <f>IF($J101="","",MONTH($J101))</f>
        <v/>
      </c>
    </row>
    <row r="102">
      <c r="A102" s="37" t="n"/>
      <c r="B102" s="38" t="n"/>
      <c r="C102" s="38" t="n"/>
      <c r="D102" s="38" t="n"/>
      <c r="E102" s="38" t="n"/>
      <c r="F102" s="39" t="n"/>
      <c r="G102" s="25">
        <f>IF($F102="","",IF(IFERROR(INDEX(Parámetros!$B$64:$B$68,MATCH($C102,Parámetros!$A$64:$A$68,0)),0)=1,ROUND($F102*Parámetros!$B$13,0),0))</f>
        <v/>
      </c>
      <c r="H102" s="25">
        <f>IF($F102="","",$F102+$G102)</f>
        <v/>
      </c>
      <c r="I102" s="38" t="n"/>
      <c r="J102" s="37" t="n"/>
      <c r="K102" s="38" t="n"/>
      <c r="L102" s="40">
        <f>IF($A102="","",YEAR($A102))</f>
        <v/>
      </c>
      <c r="M102" s="40">
        <f>IF($A102="","",MONTH($A102))</f>
        <v/>
      </c>
      <c r="N102" s="40">
        <f>IF($J102="","",YEAR($J102))</f>
        <v/>
      </c>
      <c r="O102" s="40">
        <f>IF($J102="","",MONTH($J102))</f>
        <v/>
      </c>
    </row>
    <row r="103">
      <c r="A103" s="37" t="n"/>
      <c r="B103" s="38" t="n"/>
      <c r="C103" s="38" t="n"/>
      <c r="D103" s="38" t="n"/>
      <c r="E103" s="38" t="n"/>
      <c r="F103" s="39" t="n"/>
      <c r="G103" s="25">
        <f>IF($F103="","",IF(IFERROR(INDEX(Parámetros!$B$64:$B$68,MATCH($C103,Parámetros!$A$64:$A$68,0)),0)=1,ROUND($F103*Parámetros!$B$13,0),0))</f>
        <v/>
      </c>
      <c r="H103" s="25">
        <f>IF($F103="","",$F103+$G103)</f>
        <v/>
      </c>
      <c r="I103" s="38" t="n"/>
      <c r="J103" s="37" t="n"/>
      <c r="K103" s="38" t="n"/>
      <c r="L103" s="40">
        <f>IF($A103="","",YEAR($A103))</f>
        <v/>
      </c>
      <c r="M103" s="40">
        <f>IF($A103="","",MONTH($A103))</f>
        <v/>
      </c>
      <c r="N103" s="40">
        <f>IF($J103="","",YEAR($J103))</f>
        <v/>
      </c>
      <c r="O103" s="40">
        <f>IF($J103="","",MONTH($J103))</f>
        <v/>
      </c>
    </row>
    <row r="104">
      <c r="A104" s="37" t="n"/>
      <c r="B104" s="38" t="n"/>
      <c r="C104" s="38" t="n"/>
      <c r="D104" s="38" t="n"/>
      <c r="E104" s="38" t="n"/>
      <c r="F104" s="39" t="n"/>
      <c r="G104" s="25">
        <f>IF($F104="","",IF(IFERROR(INDEX(Parámetros!$B$64:$B$68,MATCH($C104,Parámetros!$A$64:$A$68,0)),0)=1,ROUND($F104*Parámetros!$B$13,0),0))</f>
        <v/>
      </c>
      <c r="H104" s="25">
        <f>IF($F104="","",$F104+$G104)</f>
        <v/>
      </c>
      <c r="I104" s="38" t="n"/>
      <c r="J104" s="37" t="n"/>
      <c r="K104" s="38" t="n"/>
      <c r="L104" s="40">
        <f>IF($A104="","",YEAR($A104))</f>
        <v/>
      </c>
      <c r="M104" s="40">
        <f>IF($A104="","",MONTH($A104))</f>
        <v/>
      </c>
      <c r="N104" s="40">
        <f>IF($J104="","",YEAR($J104))</f>
        <v/>
      </c>
      <c r="O104" s="40">
        <f>IF($J104="","",MONTH($J104))</f>
        <v/>
      </c>
    </row>
    <row r="105">
      <c r="A105" s="37" t="n"/>
      <c r="B105" s="38" t="n"/>
      <c r="C105" s="38" t="n"/>
      <c r="D105" s="38" t="n"/>
      <c r="E105" s="38" t="n"/>
      <c r="F105" s="39" t="n"/>
      <c r="G105" s="25">
        <f>IF($F105="","",IF(IFERROR(INDEX(Parámetros!$B$64:$B$68,MATCH($C105,Parámetros!$A$64:$A$68,0)),0)=1,ROUND($F105*Parámetros!$B$13,0),0))</f>
        <v/>
      </c>
      <c r="H105" s="25">
        <f>IF($F105="","",$F105+$G105)</f>
        <v/>
      </c>
      <c r="I105" s="38" t="n"/>
      <c r="J105" s="37" t="n"/>
      <c r="K105" s="38" t="n"/>
      <c r="L105" s="40">
        <f>IF($A105="","",YEAR($A105))</f>
        <v/>
      </c>
      <c r="M105" s="40">
        <f>IF($A105="","",MONTH($A105))</f>
        <v/>
      </c>
      <c r="N105" s="40">
        <f>IF($J105="","",YEAR($J105))</f>
        <v/>
      </c>
      <c r="O105" s="40">
        <f>IF($J105="","",MONTH($J105))</f>
        <v/>
      </c>
    </row>
    <row r="106">
      <c r="A106" s="37" t="n"/>
      <c r="B106" s="38" t="n"/>
      <c r="C106" s="38" t="n"/>
      <c r="D106" s="38" t="n"/>
      <c r="E106" s="38" t="n"/>
      <c r="F106" s="39" t="n"/>
      <c r="G106" s="25">
        <f>IF($F106="","",IF(IFERROR(INDEX(Parámetros!$B$64:$B$68,MATCH($C106,Parámetros!$A$64:$A$68,0)),0)=1,ROUND($F106*Parámetros!$B$13,0),0))</f>
        <v/>
      </c>
      <c r="H106" s="25">
        <f>IF($F106="","",$F106+$G106)</f>
        <v/>
      </c>
      <c r="I106" s="38" t="n"/>
      <c r="J106" s="37" t="n"/>
      <c r="K106" s="38" t="n"/>
      <c r="L106" s="40">
        <f>IF($A106="","",YEAR($A106))</f>
        <v/>
      </c>
      <c r="M106" s="40">
        <f>IF($A106="","",MONTH($A106))</f>
        <v/>
      </c>
      <c r="N106" s="40">
        <f>IF($J106="","",YEAR($J106))</f>
        <v/>
      </c>
      <c r="O106" s="40">
        <f>IF($J106="","",MONTH($J106))</f>
        <v/>
      </c>
    </row>
    <row r="107">
      <c r="A107" s="37" t="n"/>
      <c r="B107" s="38" t="n"/>
      <c r="C107" s="38" t="n"/>
      <c r="D107" s="38" t="n"/>
      <c r="E107" s="38" t="n"/>
      <c r="F107" s="39" t="n"/>
      <c r="G107" s="25">
        <f>IF($F107="","",IF(IFERROR(INDEX(Parámetros!$B$64:$B$68,MATCH($C107,Parámetros!$A$64:$A$68,0)),0)=1,ROUND($F107*Parámetros!$B$13,0),0))</f>
        <v/>
      </c>
      <c r="H107" s="25">
        <f>IF($F107="","",$F107+$G107)</f>
        <v/>
      </c>
      <c r="I107" s="38" t="n"/>
      <c r="J107" s="37" t="n"/>
      <c r="K107" s="38" t="n"/>
      <c r="L107" s="40">
        <f>IF($A107="","",YEAR($A107))</f>
        <v/>
      </c>
      <c r="M107" s="40">
        <f>IF($A107="","",MONTH($A107))</f>
        <v/>
      </c>
      <c r="N107" s="40">
        <f>IF($J107="","",YEAR($J107))</f>
        <v/>
      </c>
      <c r="O107" s="40">
        <f>IF($J107="","",MONTH($J107))</f>
        <v/>
      </c>
    </row>
    <row r="108">
      <c r="A108" s="37" t="n"/>
      <c r="B108" s="38" t="n"/>
      <c r="C108" s="38" t="n"/>
      <c r="D108" s="38" t="n"/>
      <c r="E108" s="38" t="n"/>
      <c r="F108" s="39" t="n"/>
      <c r="G108" s="25">
        <f>IF($F108="","",IF(IFERROR(INDEX(Parámetros!$B$64:$B$68,MATCH($C108,Parámetros!$A$64:$A$68,0)),0)=1,ROUND($F108*Parámetros!$B$13,0),0))</f>
        <v/>
      </c>
      <c r="H108" s="25">
        <f>IF($F108="","",$F108+$G108)</f>
        <v/>
      </c>
      <c r="I108" s="38" t="n"/>
      <c r="J108" s="37" t="n"/>
      <c r="K108" s="38" t="n"/>
      <c r="L108" s="40">
        <f>IF($A108="","",YEAR($A108))</f>
        <v/>
      </c>
      <c r="M108" s="40">
        <f>IF($A108="","",MONTH($A108))</f>
        <v/>
      </c>
      <c r="N108" s="40">
        <f>IF($J108="","",YEAR($J108))</f>
        <v/>
      </c>
      <c r="O108" s="40">
        <f>IF($J108="","",MONTH($J108))</f>
        <v/>
      </c>
    </row>
    <row r="109">
      <c r="A109" s="37" t="n"/>
      <c r="B109" s="38" t="n"/>
      <c r="C109" s="38" t="n"/>
      <c r="D109" s="38" t="n"/>
      <c r="E109" s="38" t="n"/>
      <c r="F109" s="39" t="n"/>
      <c r="G109" s="25">
        <f>IF($F109="","",IF(IFERROR(INDEX(Parámetros!$B$64:$B$68,MATCH($C109,Parámetros!$A$64:$A$68,0)),0)=1,ROUND($F109*Parámetros!$B$13,0),0))</f>
        <v/>
      </c>
      <c r="H109" s="25">
        <f>IF($F109="","",$F109+$G109)</f>
        <v/>
      </c>
      <c r="I109" s="38" t="n"/>
      <c r="J109" s="37" t="n"/>
      <c r="K109" s="38" t="n"/>
      <c r="L109" s="40">
        <f>IF($A109="","",YEAR($A109))</f>
        <v/>
      </c>
      <c r="M109" s="40">
        <f>IF($A109="","",MONTH($A109))</f>
        <v/>
      </c>
      <c r="N109" s="40">
        <f>IF($J109="","",YEAR($J109))</f>
        <v/>
      </c>
      <c r="O109" s="40">
        <f>IF($J109="","",MONTH($J109))</f>
        <v/>
      </c>
    </row>
    <row r="110">
      <c r="A110" s="37" t="n"/>
      <c r="B110" s="38" t="n"/>
      <c r="C110" s="38" t="n"/>
      <c r="D110" s="38" t="n"/>
      <c r="E110" s="38" t="n"/>
      <c r="F110" s="39" t="n"/>
      <c r="G110" s="25">
        <f>IF($F110="","",IF(IFERROR(INDEX(Parámetros!$B$64:$B$68,MATCH($C110,Parámetros!$A$64:$A$68,0)),0)=1,ROUND($F110*Parámetros!$B$13,0),0))</f>
        <v/>
      </c>
      <c r="H110" s="25">
        <f>IF($F110="","",$F110+$G110)</f>
        <v/>
      </c>
      <c r="I110" s="38" t="n"/>
      <c r="J110" s="37" t="n"/>
      <c r="K110" s="38" t="n"/>
      <c r="L110" s="40">
        <f>IF($A110="","",YEAR($A110))</f>
        <v/>
      </c>
      <c r="M110" s="40">
        <f>IF($A110="","",MONTH($A110))</f>
        <v/>
      </c>
      <c r="N110" s="40">
        <f>IF($J110="","",YEAR($J110))</f>
        <v/>
      </c>
      <c r="O110" s="40">
        <f>IF($J110="","",MONTH($J110))</f>
        <v/>
      </c>
    </row>
    <row r="111">
      <c r="A111" s="37" t="n"/>
      <c r="B111" s="38" t="n"/>
      <c r="C111" s="38" t="n"/>
      <c r="D111" s="38" t="n"/>
      <c r="E111" s="38" t="n"/>
      <c r="F111" s="39" t="n"/>
      <c r="G111" s="25">
        <f>IF($F111="","",IF(IFERROR(INDEX(Parámetros!$B$64:$B$68,MATCH($C111,Parámetros!$A$64:$A$68,0)),0)=1,ROUND($F111*Parámetros!$B$13,0),0))</f>
        <v/>
      </c>
      <c r="H111" s="25">
        <f>IF($F111="","",$F111+$G111)</f>
        <v/>
      </c>
      <c r="I111" s="38" t="n"/>
      <c r="J111" s="37" t="n"/>
      <c r="K111" s="38" t="n"/>
      <c r="L111" s="40">
        <f>IF($A111="","",YEAR($A111))</f>
        <v/>
      </c>
      <c r="M111" s="40">
        <f>IF($A111="","",MONTH($A111))</f>
        <v/>
      </c>
      <c r="N111" s="40">
        <f>IF($J111="","",YEAR($J111))</f>
        <v/>
      </c>
      <c r="O111" s="40">
        <f>IF($J111="","",MONTH($J111))</f>
        <v/>
      </c>
    </row>
    <row r="112">
      <c r="A112" s="37" t="n"/>
      <c r="B112" s="38" t="n"/>
      <c r="C112" s="38" t="n"/>
      <c r="D112" s="38" t="n"/>
      <c r="E112" s="38" t="n"/>
      <c r="F112" s="39" t="n"/>
      <c r="G112" s="25">
        <f>IF($F112="","",IF(IFERROR(INDEX(Parámetros!$B$64:$B$68,MATCH($C112,Parámetros!$A$64:$A$68,0)),0)=1,ROUND($F112*Parámetros!$B$13,0),0))</f>
        <v/>
      </c>
      <c r="H112" s="25">
        <f>IF($F112="","",$F112+$G112)</f>
        <v/>
      </c>
      <c r="I112" s="38" t="n"/>
      <c r="J112" s="37" t="n"/>
      <c r="K112" s="38" t="n"/>
      <c r="L112" s="40">
        <f>IF($A112="","",YEAR($A112))</f>
        <v/>
      </c>
      <c r="M112" s="40">
        <f>IF($A112="","",MONTH($A112))</f>
        <v/>
      </c>
      <c r="N112" s="40">
        <f>IF($J112="","",YEAR($J112))</f>
        <v/>
      </c>
      <c r="O112" s="40">
        <f>IF($J112="","",MONTH($J112))</f>
        <v/>
      </c>
    </row>
    <row r="113">
      <c r="A113" s="37" t="n"/>
      <c r="B113" s="38" t="n"/>
      <c r="C113" s="38" t="n"/>
      <c r="D113" s="38" t="n"/>
      <c r="E113" s="38" t="n"/>
      <c r="F113" s="39" t="n"/>
      <c r="G113" s="25">
        <f>IF($F113="","",IF(IFERROR(INDEX(Parámetros!$B$64:$B$68,MATCH($C113,Parámetros!$A$64:$A$68,0)),0)=1,ROUND($F113*Parámetros!$B$13,0),0))</f>
        <v/>
      </c>
      <c r="H113" s="25">
        <f>IF($F113="","",$F113+$G113)</f>
        <v/>
      </c>
      <c r="I113" s="38" t="n"/>
      <c r="J113" s="37" t="n"/>
      <c r="K113" s="38" t="n"/>
      <c r="L113" s="40">
        <f>IF($A113="","",YEAR($A113))</f>
        <v/>
      </c>
      <c r="M113" s="40">
        <f>IF($A113="","",MONTH($A113))</f>
        <v/>
      </c>
      <c r="N113" s="40">
        <f>IF($J113="","",YEAR($J113))</f>
        <v/>
      </c>
      <c r="O113" s="40">
        <f>IF($J113="","",MONTH($J113))</f>
        <v/>
      </c>
    </row>
    <row r="114">
      <c r="A114" s="37" t="n"/>
      <c r="B114" s="38" t="n"/>
      <c r="C114" s="38" t="n"/>
      <c r="D114" s="38" t="n"/>
      <c r="E114" s="38" t="n"/>
      <c r="F114" s="39" t="n"/>
      <c r="G114" s="25">
        <f>IF($F114="","",IF(IFERROR(INDEX(Parámetros!$B$64:$B$68,MATCH($C114,Parámetros!$A$64:$A$68,0)),0)=1,ROUND($F114*Parámetros!$B$13,0),0))</f>
        <v/>
      </c>
      <c r="H114" s="25">
        <f>IF($F114="","",$F114+$G114)</f>
        <v/>
      </c>
      <c r="I114" s="38" t="n"/>
      <c r="J114" s="37" t="n"/>
      <c r="K114" s="38" t="n"/>
      <c r="L114" s="40">
        <f>IF($A114="","",YEAR($A114))</f>
        <v/>
      </c>
      <c r="M114" s="40">
        <f>IF($A114="","",MONTH($A114))</f>
        <v/>
      </c>
      <c r="N114" s="40">
        <f>IF($J114="","",YEAR($J114))</f>
        <v/>
      </c>
      <c r="O114" s="40">
        <f>IF($J114="","",MONTH($J114))</f>
        <v/>
      </c>
    </row>
    <row r="115">
      <c r="A115" s="37" t="n"/>
      <c r="B115" s="38" t="n"/>
      <c r="C115" s="38" t="n"/>
      <c r="D115" s="38" t="n"/>
      <c r="E115" s="38" t="n"/>
      <c r="F115" s="39" t="n"/>
      <c r="G115" s="25">
        <f>IF($F115="","",IF(IFERROR(INDEX(Parámetros!$B$64:$B$68,MATCH($C115,Parámetros!$A$64:$A$68,0)),0)=1,ROUND($F115*Parámetros!$B$13,0),0))</f>
        <v/>
      </c>
      <c r="H115" s="25">
        <f>IF($F115="","",$F115+$G115)</f>
        <v/>
      </c>
      <c r="I115" s="38" t="n"/>
      <c r="J115" s="37" t="n"/>
      <c r="K115" s="38" t="n"/>
      <c r="L115" s="40">
        <f>IF($A115="","",YEAR($A115))</f>
        <v/>
      </c>
      <c r="M115" s="40">
        <f>IF($A115="","",MONTH($A115))</f>
        <v/>
      </c>
      <c r="N115" s="40">
        <f>IF($J115="","",YEAR($J115))</f>
        <v/>
      </c>
      <c r="O115" s="40">
        <f>IF($J115="","",MONTH($J115))</f>
        <v/>
      </c>
    </row>
    <row r="116">
      <c r="A116" s="37" t="n"/>
      <c r="B116" s="38" t="n"/>
      <c r="C116" s="38" t="n"/>
      <c r="D116" s="38" t="n"/>
      <c r="E116" s="38" t="n"/>
      <c r="F116" s="39" t="n"/>
      <c r="G116" s="25">
        <f>IF($F116="","",IF(IFERROR(INDEX(Parámetros!$B$64:$B$68,MATCH($C116,Parámetros!$A$64:$A$68,0)),0)=1,ROUND($F116*Parámetros!$B$13,0),0))</f>
        <v/>
      </c>
      <c r="H116" s="25">
        <f>IF($F116="","",$F116+$G116)</f>
        <v/>
      </c>
      <c r="I116" s="38" t="n"/>
      <c r="J116" s="37" t="n"/>
      <c r="K116" s="38" t="n"/>
      <c r="L116" s="40">
        <f>IF($A116="","",YEAR($A116))</f>
        <v/>
      </c>
      <c r="M116" s="40">
        <f>IF($A116="","",MONTH($A116))</f>
        <v/>
      </c>
      <c r="N116" s="40">
        <f>IF($J116="","",YEAR($J116))</f>
        <v/>
      </c>
      <c r="O116" s="40">
        <f>IF($J116="","",MONTH($J116))</f>
        <v/>
      </c>
    </row>
    <row r="117">
      <c r="A117" s="37" t="n"/>
      <c r="B117" s="38" t="n"/>
      <c r="C117" s="38" t="n"/>
      <c r="D117" s="38" t="n"/>
      <c r="E117" s="38" t="n"/>
      <c r="F117" s="39" t="n"/>
      <c r="G117" s="25">
        <f>IF($F117="","",IF(IFERROR(INDEX(Parámetros!$B$64:$B$68,MATCH($C117,Parámetros!$A$64:$A$68,0)),0)=1,ROUND($F117*Parámetros!$B$13,0),0))</f>
        <v/>
      </c>
      <c r="H117" s="25">
        <f>IF($F117="","",$F117+$G117)</f>
        <v/>
      </c>
      <c r="I117" s="38" t="n"/>
      <c r="J117" s="37" t="n"/>
      <c r="K117" s="38" t="n"/>
      <c r="L117" s="40">
        <f>IF($A117="","",YEAR($A117))</f>
        <v/>
      </c>
      <c r="M117" s="40">
        <f>IF($A117="","",MONTH($A117))</f>
        <v/>
      </c>
      <c r="N117" s="40">
        <f>IF($J117="","",YEAR($J117))</f>
        <v/>
      </c>
      <c r="O117" s="40">
        <f>IF($J117="","",MONTH($J117))</f>
        <v/>
      </c>
    </row>
    <row r="118">
      <c r="A118" s="37" t="n"/>
      <c r="B118" s="38" t="n"/>
      <c r="C118" s="38" t="n"/>
      <c r="D118" s="38" t="n"/>
      <c r="E118" s="38" t="n"/>
      <c r="F118" s="39" t="n"/>
      <c r="G118" s="25">
        <f>IF($F118="","",IF(IFERROR(INDEX(Parámetros!$B$64:$B$68,MATCH($C118,Parámetros!$A$64:$A$68,0)),0)=1,ROUND($F118*Parámetros!$B$13,0),0))</f>
        <v/>
      </c>
      <c r="H118" s="25">
        <f>IF($F118="","",$F118+$G118)</f>
        <v/>
      </c>
      <c r="I118" s="38" t="n"/>
      <c r="J118" s="37" t="n"/>
      <c r="K118" s="38" t="n"/>
      <c r="L118" s="40">
        <f>IF($A118="","",YEAR($A118))</f>
        <v/>
      </c>
      <c r="M118" s="40">
        <f>IF($A118="","",MONTH($A118))</f>
        <v/>
      </c>
      <c r="N118" s="40">
        <f>IF($J118="","",YEAR($J118))</f>
        <v/>
      </c>
      <c r="O118" s="40">
        <f>IF($J118="","",MONTH($J118))</f>
        <v/>
      </c>
    </row>
    <row r="119">
      <c r="A119" s="37" t="n"/>
      <c r="B119" s="38" t="n"/>
      <c r="C119" s="38" t="n"/>
      <c r="D119" s="38" t="n"/>
      <c r="E119" s="38" t="n"/>
      <c r="F119" s="39" t="n"/>
      <c r="G119" s="25">
        <f>IF($F119="","",IF(IFERROR(INDEX(Parámetros!$B$64:$B$68,MATCH($C119,Parámetros!$A$64:$A$68,0)),0)=1,ROUND($F119*Parámetros!$B$13,0),0))</f>
        <v/>
      </c>
      <c r="H119" s="25">
        <f>IF($F119="","",$F119+$G119)</f>
        <v/>
      </c>
      <c r="I119" s="38" t="n"/>
      <c r="J119" s="37" t="n"/>
      <c r="K119" s="38" t="n"/>
      <c r="L119" s="40">
        <f>IF($A119="","",YEAR($A119))</f>
        <v/>
      </c>
      <c r="M119" s="40">
        <f>IF($A119="","",MONTH($A119))</f>
        <v/>
      </c>
      <c r="N119" s="40">
        <f>IF($J119="","",YEAR($J119))</f>
        <v/>
      </c>
      <c r="O119" s="40">
        <f>IF($J119="","",MONTH($J119))</f>
        <v/>
      </c>
    </row>
    <row r="120">
      <c r="A120" s="37" t="n"/>
      <c r="B120" s="38" t="n"/>
      <c r="C120" s="38" t="n"/>
      <c r="D120" s="38" t="n"/>
      <c r="E120" s="38" t="n"/>
      <c r="F120" s="39" t="n"/>
      <c r="G120" s="25">
        <f>IF($F120="","",IF(IFERROR(INDEX(Parámetros!$B$64:$B$68,MATCH($C120,Parámetros!$A$64:$A$68,0)),0)=1,ROUND($F120*Parámetros!$B$13,0),0))</f>
        <v/>
      </c>
      <c r="H120" s="25">
        <f>IF($F120="","",$F120+$G120)</f>
        <v/>
      </c>
      <c r="I120" s="38" t="n"/>
      <c r="J120" s="37" t="n"/>
      <c r="K120" s="38" t="n"/>
      <c r="L120" s="40">
        <f>IF($A120="","",YEAR($A120))</f>
        <v/>
      </c>
      <c r="M120" s="40">
        <f>IF($A120="","",MONTH($A120))</f>
        <v/>
      </c>
      <c r="N120" s="40">
        <f>IF($J120="","",YEAR($J120))</f>
        <v/>
      </c>
      <c r="O120" s="40">
        <f>IF($J120="","",MONTH($J120))</f>
        <v/>
      </c>
    </row>
    <row r="121">
      <c r="A121" s="37" t="n"/>
      <c r="B121" s="38" t="n"/>
      <c r="C121" s="38" t="n"/>
      <c r="D121" s="38" t="n"/>
      <c r="E121" s="38" t="n"/>
      <c r="F121" s="39" t="n"/>
      <c r="G121" s="25">
        <f>IF($F121="","",IF(IFERROR(INDEX(Parámetros!$B$64:$B$68,MATCH($C121,Parámetros!$A$64:$A$68,0)),0)=1,ROUND($F121*Parámetros!$B$13,0),0))</f>
        <v/>
      </c>
      <c r="H121" s="25">
        <f>IF($F121="","",$F121+$G121)</f>
        <v/>
      </c>
      <c r="I121" s="38" t="n"/>
      <c r="J121" s="37" t="n"/>
      <c r="K121" s="38" t="n"/>
      <c r="L121" s="40">
        <f>IF($A121="","",YEAR($A121))</f>
        <v/>
      </c>
      <c r="M121" s="40">
        <f>IF($A121="","",MONTH($A121))</f>
        <v/>
      </c>
      <c r="N121" s="40">
        <f>IF($J121="","",YEAR($J121))</f>
        <v/>
      </c>
      <c r="O121" s="40">
        <f>IF($J121="","",MONTH($J121))</f>
        <v/>
      </c>
    </row>
    <row r="122">
      <c r="A122" s="37" t="n"/>
      <c r="B122" s="38" t="n"/>
      <c r="C122" s="38" t="n"/>
      <c r="D122" s="38" t="n"/>
      <c r="E122" s="38" t="n"/>
      <c r="F122" s="39" t="n"/>
      <c r="G122" s="25">
        <f>IF($F122="","",IF(IFERROR(INDEX(Parámetros!$B$64:$B$68,MATCH($C122,Parámetros!$A$64:$A$68,0)),0)=1,ROUND($F122*Parámetros!$B$13,0),0))</f>
        <v/>
      </c>
      <c r="H122" s="25">
        <f>IF($F122="","",$F122+$G122)</f>
        <v/>
      </c>
      <c r="I122" s="38" t="n"/>
      <c r="J122" s="37" t="n"/>
      <c r="K122" s="38" t="n"/>
      <c r="L122" s="40">
        <f>IF($A122="","",YEAR($A122))</f>
        <v/>
      </c>
      <c r="M122" s="40">
        <f>IF($A122="","",MONTH($A122))</f>
        <v/>
      </c>
      <c r="N122" s="40">
        <f>IF($J122="","",YEAR($J122))</f>
        <v/>
      </c>
      <c r="O122" s="40">
        <f>IF($J122="","",MONTH($J122))</f>
        <v/>
      </c>
    </row>
    <row r="123">
      <c r="A123" s="37" t="n"/>
      <c r="B123" s="38" t="n"/>
      <c r="C123" s="38" t="n"/>
      <c r="D123" s="38" t="n"/>
      <c r="E123" s="38" t="n"/>
      <c r="F123" s="39" t="n"/>
      <c r="G123" s="25">
        <f>IF($F123="","",IF(IFERROR(INDEX(Parámetros!$B$64:$B$68,MATCH($C123,Parámetros!$A$64:$A$68,0)),0)=1,ROUND($F123*Parámetros!$B$13,0),0))</f>
        <v/>
      </c>
      <c r="H123" s="25">
        <f>IF($F123="","",$F123+$G123)</f>
        <v/>
      </c>
      <c r="I123" s="38" t="n"/>
      <c r="J123" s="37" t="n"/>
      <c r="K123" s="38" t="n"/>
      <c r="L123" s="40">
        <f>IF($A123="","",YEAR($A123))</f>
        <v/>
      </c>
      <c r="M123" s="40">
        <f>IF($A123="","",MONTH($A123))</f>
        <v/>
      </c>
      <c r="N123" s="40">
        <f>IF($J123="","",YEAR($J123))</f>
        <v/>
      </c>
      <c r="O123" s="40">
        <f>IF($J123="","",MONTH($J123))</f>
        <v/>
      </c>
    </row>
    <row r="124">
      <c r="A124" s="37" t="n"/>
      <c r="B124" s="38" t="n"/>
      <c r="C124" s="38" t="n"/>
      <c r="D124" s="38" t="n"/>
      <c r="E124" s="38" t="n"/>
      <c r="F124" s="39" t="n"/>
      <c r="G124" s="25">
        <f>IF($F124="","",IF(IFERROR(INDEX(Parámetros!$B$64:$B$68,MATCH($C124,Parámetros!$A$64:$A$68,0)),0)=1,ROUND($F124*Parámetros!$B$13,0),0))</f>
        <v/>
      </c>
      <c r="H124" s="25">
        <f>IF($F124="","",$F124+$G124)</f>
        <v/>
      </c>
      <c r="I124" s="38" t="n"/>
      <c r="J124" s="37" t="n"/>
      <c r="K124" s="38" t="n"/>
      <c r="L124" s="40">
        <f>IF($A124="","",YEAR($A124))</f>
        <v/>
      </c>
      <c r="M124" s="40">
        <f>IF($A124="","",MONTH($A124))</f>
        <v/>
      </c>
      <c r="N124" s="40">
        <f>IF($J124="","",YEAR($J124))</f>
        <v/>
      </c>
      <c r="O124" s="40">
        <f>IF($J124="","",MONTH($J124))</f>
        <v/>
      </c>
    </row>
    <row r="125">
      <c r="A125" s="37" t="n"/>
      <c r="B125" s="38" t="n"/>
      <c r="C125" s="38" t="n"/>
      <c r="D125" s="38" t="n"/>
      <c r="E125" s="38" t="n"/>
      <c r="F125" s="39" t="n"/>
      <c r="G125" s="25">
        <f>IF($F125="","",IF(IFERROR(INDEX(Parámetros!$B$64:$B$68,MATCH($C125,Parámetros!$A$64:$A$68,0)),0)=1,ROUND($F125*Parámetros!$B$13,0),0))</f>
        <v/>
      </c>
      <c r="H125" s="25">
        <f>IF($F125="","",$F125+$G125)</f>
        <v/>
      </c>
      <c r="I125" s="38" t="n"/>
      <c r="J125" s="37" t="n"/>
      <c r="K125" s="38" t="n"/>
      <c r="L125" s="40">
        <f>IF($A125="","",YEAR($A125))</f>
        <v/>
      </c>
      <c r="M125" s="40">
        <f>IF($A125="","",MONTH($A125))</f>
        <v/>
      </c>
      <c r="N125" s="40">
        <f>IF($J125="","",YEAR($J125))</f>
        <v/>
      </c>
      <c r="O125" s="40">
        <f>IF($J125="","",MONTH($J125))</f>
        <v/>
      </c>
    </row>
    <row r="126">
      <c r="A126" s="37" t="n"/>
      <c r="B126" s="38" t="n"/>
      <c r="C126" s="38" t="n"/>
      <c r="D126" s="38" t="n"/>
      <c r="E126" s="38" t="n"/>
      <c r="F126" s="39" t="n"/>
      <c r="G126" s="25">
        <f>IF($F126="","",IF(IFERROR(INDEX(Parámetros!$B$64:$B$68,MATCH($C126,Parámetros!$A$64:$A$68,0)),0)=1,ROUND($F126*Parámetros!$B$13,0),0))</f>
        <v/>
      </c>
      <c r="H126" s="25">
        <f>IF($F126="","",$F126+$G126)</f>
        <v/>
      </c>
      <c r="I126" s="38" t="n"/>
      <c r="J126" s="37" t="n"/>
      <c r="K126" s="38" t="n"/>
      <c r="L126" s="40">
        <f>IF($A126="","",YEAR($A126))</f>
        <v/>
      </c>
      <c r="M126" s="40">
        <f>IF($A126="","",MONTH($A126))</f>
        <v/>
      </c>
      <c r="N126" s="40">
        <f>IF($J126="","",YEAR($J126))</f>
        <v/>
      </c>
      <c r="O126" s="40">
        <f>IF($J126="","",MONTH($J126))</f>
        <v/>
      </c>
    </row>
    <row r="127">
      <c r="A127" s="37" t="n"/>
      <c r="B127" s="38" t="n"/>
      <c r="C127" s="38" t="n"/>
      <c r="D127" s="38" t="n"/>
      <c r="E127" s="38" t="n"/>
      <c r="F127" s="39" t="n"/>
      <c r="G127" s="25">
        <f>IF($F127="","",IF(IFERROR(INDEX(Parámetros!$B$64:$B$68,MATCH($C127,Parámetros!$A$64:$A$68,0)),0)=1,ROUND($F127*Parámetros!$B$13,0),0))</f>
        <v/>
      </c>
      <c r="H127" s="25">
        <f>IF($F127="","",$F127+$G127)</f>
        <v/>
      </c>
      <c r="I127" s="38" t="n"/>
      <c r="J127" s="37" t="n"/>
      <c r="K127" s="38" t="n"/>
      <c r="L127" s="40">
        <f>IF($A127="","",YEAR($A127))</f>
        <v/>
      </c>
      <c r="M127" s="40">
        <f>IF($A127="","",MONTH($A127))</f>
        <v/>
      </c>
      <c r="N127" s="40">
        <f>IF($J127="","",YEAR($J127))</f>
        <v/>
      </c>
      <c r="O127" s="40">
        <f>IF($J127="","",MONTH($J127))</f>
        <v/>
      </c>
    </row>
    <row r="128">
      <c r="A128" s="37" t="n"/>
      <c r="B128" s="38" t="n"/>
      <c r="C128" s="38" t="n"/>
      <c r="D128" s="38" t="n"/>
      <c r="E128" s="38" t="n"/>
      <c r="F128" s="39" t="n"/>
      <c r="G128" s="25">
        <f>IF($F128="","",IF(IFERROR(INDEX(Parámetros!$B$64:$B$68,MATCH($C128,Parámetros!$A$64:$A$68,0)),0)=1,ROUND($F128*Parámetros!$B$13,0),0))</f>
        <v/>
      </c>
      <c r="H128" s="25">
        <f>IF($F128="","",$F128+$G128)</f>
        <v/>
      </c>
      <c r="I128" s="38" t="n"/>
      <c r="J128" s="37" t="n"/>
      <c r="K128" s="38" t="n"/>
      <c r="L128" s="40">
        <f>IF($A128="","",YEAR($A128))</f>
        <v/>
      </c>
      <c r="M128" s="40">
        <f>IF($A128="","",MONTH($A128))</f>
        <v/>
      </c>
      <c r="N128" s="40">
        <f>IF($J128="","",YEAR($J128))</f>
        <v/>
      </c>
      <c r="O128" s="40">
        <f>IF($J128="","",MONTH($J128))</f>
        <v/>
      </c>
    </row>
    <row r="129">
      <c r="A129" s="37" t="n"/>
      <c r="B129" s="38" t="n"/>
      <c r="C129" s="38" t="n"/>
      <c r="D129" s="38" t="n"/>
      <c r="E129" s="38" t="n"/>
      <c r="F129" s="39" t="n"/>
      <c r="G129" s="25">
        <f>IF($F129="","",IF(IFERROR(INDEX(Parámetros!$B$64:$B$68,MATCH($C129,Parámetros!$A$64:$A$68,0)),0)=1,ROUND($F129*Parámetros!$B$13,0),0))</f>
        <v/>
      </c>
      <c r="H129" s="25">
        <f>IF($F129="","",$F129+$G129)</f>
        <v/>
      </c>
      <c r="I129" s="38" t="n"/>
      <c r="J129" s="37" t="n"/>
      <c r="K129" s="38" t="n"/>
      <c r="L129" s="40">
        <f>IF($A129="","",YEAR($A129))</f>
        <v/>
      </c>
      <c r="M129" s="40">
        <f>IF($A129="","",MONTH($A129))</f>
        <v/>
      </c>
      <c r="N129" s="40">
        <f>IF($J129="","",YEAR($J129))</f>
        <v/>
      </c>
      <c r="O129" s="40">
        <f>IF($J129="","",MONTH($J129))</f>
        <v/>
      </c>
    </row>
    <row r="130">
      <c r="A130" s="37" t="n"/>
      <c r="B130" s="38" t="n"/>
      <c r="C130" s="38" t="n"/>
      <c r="D130" s="38" t="n"/>
      <c r="E130" s="38" t="n"/>
      <c r="F130" s="39" t="n"/>
      <c r="G130" s="25">
        <f>IF($F130="","",IF(IFERROR(INDEX(Parámetros!$B$64:$B$68,MATCH($C130,Parámetros!$A$64:$A$68,0)),0)=1,ROUND($F130*Parámetros!$B$13,0),0))</f>
        <v/>
      </c>
      <c r="H130" s="25">
        <f>IF($F130="","",$F130+$G130)</f>
        <v/>
      </c>
      <c r="I130" s="38" t="n"/>
      <c r="J130" s="37" t="n"/>
      <c r="K130" s="38" t="n"/>
      <c r="L130" s="40">
        <f>IF($A130="","",YEAR($A130))</f>
        <v/>
      </c>
      <c r="M130" s="40">
        <f>IF($A130="","",MONTH($A130))</f>
        <v/>
      </c>
      <c r="N130" s="40">
        <f>IF($J130="","",YEAR($J130))</f>
        <v/>
      </c>
      <c r="O130" s="40">
        <f>IF($J130="","",MONTH($J130))</f>
        <v/>
      </c>
    </row>
    <row r="131">
      <c r="A131" s="37" t="n"/>
      <c r="B131" s="38" t="n"/>
      <c r="C131" s="38" t="n"/>
      <c r="D131" s="38" t="n"/>
      <c r="E131" s="38" t="n"/>
      <c r="F131" s="39" t="n"/>
      <c r="G131" s="25">
        <f>IF($F131="","",IF(IFERROR(INDEX(Parámetros!$B$64:$B$68,MATCH($C131,Parámetros!$A$64:$A$68,0)),0)=1,ROUND($F131*Parámetros!$B$13,0),0))</f>
        <v/>
      </c>
      <c r="H131" s="25">
        <f>IF($F131="","",$F131+$G131)</f>
        <v/>
      </c>
      <c r="I131" s="38" t="n"/>
      <c r="J131" s="37" t="n"/>
      <c r="K131" s="38" t="n"/>
      <c r="L131" s="40">
        <f>IF($A131="","",YEAR($A131))</f>
        <v/>
      </c>
      <c r="M131" s="40">
        <f>IF($A131="","",MONTH($A131))</f>
        <v/>
      </c>
      <c r="N131" s="40">
        <f>IF($J131="","",YEAR($J131))</f>
        <v/>
      </c>
      <c r="O131" s="40">
        <f>IF($J131="","",MONTH($J131))</f>
        <v/>
      </c>
    </row>
    <row r="132">
      <c r="A132" s="37" t="n"/>
      <c r="B132" s="38" t="n"/>
      <c r="C132" s="38" t="n"/>
      <c r="D132" s="38" t="n"/>
      <c r="E132" s="38" t="n"/>
      <c r="F132" s="39" t="n"/>
      <c r="G132" s="25">
        <f>IF($F132="","",IF(IFERROR(INDEX(Parámetros!$B$64:$B$68,MATCH($C132,Parámetros!$A$64:$A$68,0)),0)=1,ROUND($F132*Parámetros!$B$13,0),0))</f>
        <v/>
      </c>
      <c r="H132" s="25">
        <f>IF($F132="","",$F132+$G132)</f>
        <v/>
      </c>
      <c r="I132" s="38" t="n"/>
      <c r="J132" s="37" t="n"/>
      <c r="K132" s="38" t="n"/>
      <c r="L132" s="40">
        <f>IF($A132="","",YEAR($A132))</f>
        <v/>
      </c>
      <c r="M132" s="40">
        <f>IF($A132="","",MONTH($A132))</f>
        <v/>
      </c>
      <c r="N132" s="40">
        <f>IF($J132="","",YEAR($J132))</f>
        <v/>
      </c>
      <c r="O132" s="40">
        <f>IF($J132="","",MONTH($J132))</f>
        <v/>
      </c>
    </row>
    <row r="133">
      <c r="A133" s="37" t="n"/>
      <c r="B133" s="38" t="n"/>
      <c r="C133" s="38" t="n"/>
      <c r="D133" s="38" t="n"/>
      <c r="E133" s="38" t="n"/>
      <c r="F133" s="39" t="n"/>
      <c r="G133" s="25">
        <f>IF($F133="","",IF(IFERROR(INDEX(Parámetros!$B$64:$B$68,MATCH($C133,Parámetros!$A$64:$A$68,0)),0)=1,ROUND($F133*Parámetros!$B$13,0),0))</f>
        <v/>
      </c>
      <c r="H133" s="25">
        <f>IF($F133="","",$F133+$G133)</f>
        <v/>
      </c>
      <c r="I133" s="38" t="n"/>
      <c r="J133" s="37" t="n"/>
      <c r="K133" s="38" t="n"/>
      <c r="L133" s="40">
        <f>IF($A133="","",YEAR($A133))</f>
        <v/>
      </c>
      <c r="M133" s="40">
        <f>IF($A133="","",MONTH($A133))</f>
        <v/>
      </c>
      <c r="N133" s="40">
        <f>IF($J133="","",YEAR($J133))</f>
        <v/>
      </c>
      <c r="O133" s="40">
        <f>IF($J133="","",MONTH($J133))</f>
        <v/>
      </c>
    </row>
    <row r="134">
      <c r="A134" s="37" t="n"/>
      <c r="B134" s="38" t="n"/>
      <c r="C134" s="38" t="n"/>
      <c r="D134" s="38" t="n"/>
      <c r="E134" s="38" t="n"/>
      <c r="F134" s="39" t="n"/>
      <c r="G134" s="25">
        <f>IF($F134="","",IF(IFERROR(INDEX(Parámetros!$B$64:$B$68,MATCH($C134,Parámetros!$A$64:$A$68,0)),0)=1,ROUND($F134*Parámetros!$B$13,0),0))</f>
        <v/>
      </c>
      <c r="H134" s="25">
        <f>IF($F134="","",$F134+$G134)</f>
        <v/>
      </c>
      <c r="I134" s="38" t="n"/>
      <c r="J134" s="37" t="n"/>
      <c r="K134" s="38" t="n"/>
      <c r="L134" s="40">
        <f>IF($A134="","",YEAR($A134))</f>
        <v/>
      </c>
      <c r="M134" s="40">
        <f>IF($A134="","",MONTH($A134))</f>
        <v/>
      </c>
      <c r="N134" s="40">
        <f>IF($J134="","",YEAR($J134))</f>
        <v/>
      </c>
      <c r="O134" s="40">
        <f>IF($J134="","",MONTH($J134))</f>
        <v/>
      </c>
    </row>
    <row r="135">
      <c r="A135" s="37" t="n"/>
      <c r="B135" s="38" t="n"/>
      <c r="C135" s="38" t="n"/>
      <c r="D135" s="38" t="n"/>
      <c r="E135" s="38" t="n"/>
      <c r="F135" s="39" t="n"/>
      <c r="G135" s="25">
        <f>IF($F135="","",IF(IFERROR(INDEX(Parámetros!$B$64:$B$68,MATCH($C135,Parámetros!$A$64:$A$68,0)),0)=1,ROUND($F135*Parámetros!$B$13,0),0))</f>
        <v/>
      </c>
      <c r="H135" s="25">
        <f>IF($F135="","",$F135+$G135)</f>
        <v/>
      </c>
      <c r="I135" s="38" t="n"/>
      <c r="J135" s="37" t="n"/>
      <c r="K135" s="38" t="n"/>
      <c r="L135" s="40">
        <f>IF($A135="","",YEAR($A135))</f>
        <v/>
      </c>
      <c r="M135" s="40">
        <f>IF($A135="","",MONTH($A135))</f>
        <v/>
      </c>
      <c r="N135" s="40">
        <f>IF($J135="","",YEAR($J135))</f>
        <v/>
      </c>
      <c r="O135" s="40">
        <f>IF($J135="","",MONTH($J135))</f>
        <v/>
      </c>
    </row>
    <row r="136">
      <c r="A136" s="37" t="n"/>
      <c r="B136" s="38" t="n"/>
      <c r="C136" s="38" t="n"/>
      <c r="D136" s="38" t="n"/>
      <c r="E136" s="38" t="n"/>
      <c r="F136" s="39" t="n"/>
      <c r="G136" s="25">
        <f>IF($F136="","",IF(IFERROR(INDEX(Parámetros!$B$64:$B$68,MATCH($C136,Parámetros!$A$64:$A$68,0)),0)=1,ROUND($F136*Parámetros!$B$13,0),0))</f>
        <v/>
      </c>
      <c r="H136" s="25">
        <f>IF($F136="","",$F136+$G136)</f>
        <v/>
      </c>
      <c r="I136" s="38" t="n"/>
      <c r="J136" s="37" t="n"/>
      <c r="K136" s="38" t="n"/>
      <c r="L136" s="40">
        <f>IF($A136="","",YEAR($A136))</f>
        <v/>
      </c>
      <c r="M136" s="40">
        <f>IF($A136="","",MONTH($A136))</f>
        <v/>
      </c>
      <c r="N136" s="40">
        <f>IF($J136="","",YEAR($J136))</f>
        <v/>
      </c>
      <c r="O136" s="40">
        <f>IF($J136="","",MONTH($J136))</f>
        <v/>
      </c>
    </row>
    <row r="137">
      <c r="A137" s="37" t="n"/>
      <c r="B137" s="38" t="n"/>
      <c r="C137" s="38" t="n"/>
      <c r="D137" s="38" t="n"/>
      <c r="E137" s="38" t="n"/>
      <c r="F137" s="39" t="n"/>
      <c r="G137" s="25">
        <f>IF($F137="","",IF(IFERROR(INDEX(Parámetros!$B$64:$B$68,MATCH($C137,Parámetros!$A$64:$A$68,0)),0)=1,ROUND($F137*Parámetros!$B$13,0),0))</f>
        <v/>
      </c>
      <c r="H137" s="25">
        <f>IF($F137="","",$F137+$G137)</f>
        <v/>
      </c>
      <c r="I137" s="38" t="n"/>
      <c r="J137" s="37" t="n"/>
      <c r="K137" s="38" t="n"/>
      <c r="L137" s="40">
        <f>IF($A137="","",YEAR($A137))</f>
        <v/>
      </c>
      <c r="M137" s="40">
        <f>IF($A137="","",MONTH($A137))</f>
        <v/>
      </c>
      <c r="N137" s="40">
        <f>IF($J137="","",YEAR($J137))</f>
        <v/>
      </c>
      <c r="O137" s="40">
        <f>IF($J137="","",MONTH($J137))</f>
        <v/>
      </c>
    </row>
    <row r="138">
      <c r="A138" s="37" t="n"/>
      <c r="B138" s="38" t="n"/>
      <c r="C138" s="38" t="n"/>
      <c r="D138" s="38" t="n"/>
      <c r="E138" s="38" t="n"/>
      <c r="F138" s="39" t="n"/>
      <c r="G138" s="25">
        <f>IF($F138="","",IF(IFERROR(INDEX(Parámetros!$B$64:$B$68,MATCH($C138,Parámetros!$A$64:$A$68,0)),0)=1,ROUND($F138*Parámetros!$B$13,0),0))</f>
        <v/>
      </c>
      <c r="H138" s="25">
        <f>IF($F138="","",$F138+$G138)</f>
        <v/>
      </c>
      <c r="I138" s="38" t="n"/>
      <c r="J138" s="37" t="n"/>
      <c r="K138" s="38" t="n"/>
      <c r="L138" s="40">
        <f>IF($A138="","",YEAR($A138))</f>
        <v/>
      </c>
      <c r="M138" s="40">
        <f>IF($A138="","",MONTH($A138))</f>
        <v/>
      </c>
      <c r="N138" s="40">
        <f>IF($J138="","",YEAR($J138))</f>
        <v/>
      </c>
      <c r="O138" s="40">
        <f>IF($J138="","",MONTH($J138))</f>
        <v/>
      </c>
    </row>
    <row r="139">
      <c r="A139" s="37" t="n"/>
      <c r="B139" s="38" t="n"/>
      <c r="C139" s="38" t="n"/>
      <c r="D139" s="38" t="n"/>
      <c r="E139" s="38" t="n"/>
      <c r="F139" s="39" t="n"/>
      <c r="G139" s="25">
        <f>IF($F139="","",IF(IFERROR(INDEX(Parámetros!$B$64:$B$68,MATCH($C139,Parámetros!$A$64:$A$68,0)),0)=1,ROUND($F139*Parámetros!$B$13,0),0))</f>
        <v/>
      </c>
      <c r="H139" s="25">
        <f>IF($F139="","",$F139+$G139)</f>
        <v/>
      </c>
      <c r="I139" s="38" t="n"/>
      <c r="J139" s="37" t="n"/>
      <c r="K139" s="38" t="n"/>
      <c r="L139" s="40">
        <f>IF($A139="","",YEAR($A139))</f>
        <v/>
      </c>
      <c r="M139" s="40">
        <f>IF($A139="","",MONTH($A139))</f>
        <v/>
      </c>
      <c r="N139" s="40">
        <f>IF($J139="","",YEAR($J139))</f>
        <v/>
      </c>
      <c r="O139" s="40">
        <f>IF($J139="","",MONTH($J139))</f>
        <v/>
      </c>
    </row>
    <row r="140">
      <c r="A140" s="37" t="n"/>
      <c r="B140" s="38" t="n"/>
      <c r="C140" s="38" t="n"/>
      <c r="D140" s="38" t="n"/>
      <c r="E140" s="38" t="n"/>
      <c r="F140" s="39" t="n"/>
      <c r="G140" s="25">
        <f>IF($F140="","",IF(IFERROR(INDEX(Parámetros!$B$64:$B$68,MATCH($C140,Parámetros!$A$64:$A$68,0)),0)=1,ROUND($F140*Parámetros!$B$13,0),0))</f>
        <v/>
      </c>
      <c r="H140" s="25">
        <f>IF($F140="","",$F140+$G140)</f>
        <v/>
      </c>
      <c r="I140" s="38" t="n"/>
      <c r="J140" s="37" t="n"/>
      <c r="K140" s="38" t="n"/>
      <c r="L140" s="40">
        <f>IF($A140="","",YEAR($A140))</f>
        <v/>
      </c>
      <c r="M140" s="40">
        <f>IF($A140="","",MONTH($A140))</f>
        <v/>
      </c>
      <c r="N140" s="40">
        <f>IF($J140="","",YEAR($J140))</f>
        <v/>
      </c>
      <c r="O140" s="40">
        <f>IF($J140="","",MONTH($J140))</f>
        <v/>
      </c>
    </row>
    <row r="141">
      <c r="A141" s="37" t="n"/>
      <c r="B141" s="38" t="n"/>
      <c r="C141" s="38" t="n"/>
      <c r="D141" s="38" t="n"/>
      <c r="E141" s="38" t="n"/>
      <c r="F141" s="39" t="n"/>
      <c r="G141" s="25">
        <f>IF($F141="","",IF(IFERROR(INDEX(Parámetros!$B$64:$B$68,MATCH($C141,Parámetros!$A$64:$A$68,0)),0)=1,ROUND($F141*Parámetros!$B$13,0),0))</f>
        <v/>
      </c>
      <c r="H141" s="25">
        <f>IF($F141="","",$F141+$G141)</f>
        <v/>
      </c>
      <c r="I141" s="38" t="n"/>
      <c r="J141" s="37" t="n"/>
      <c r="K141" s="38" t="n"/>
      <c r="L141" s="40">
        <f>IF($A141="","",YEAR($A141))</f>
        <v/>
      </c>
      <c r="M141" s="40">
        <f>IF($A141="","",MONTH($A141))</f>
        <v/>
      </c>
      <c r="N141" s="40">
        <f>IF($J141="","",YEAR($J141))</f>
        <v/>
      </c>
      <c r="O141" s="40">
        <f>IF($J141="","",MONTH($J141))</f>
        <v/>
      </c>
    </row>
    <row r="142">
      <c r="A142" s="37" t="n"/>
      <c r="B142" s="38" t="n"/>
      <c r="C142" s="38" t="n"/>
      <c r="D142" s="38" t="n"/>
      <c r="E142" s="38" t="n"/>
      <c r="F142" s="39" t="n"/>
      <c r="G142" s="25">
        <f>IF($F142="","",IF(IFERROR(INDEX(Parámetros!$B$64:$B$68,MATCH($C142,Parámetros!$A$64:$A$68,0)),0)=1,ROUND($F142*Parámetros!$B$13,0),0))</f>
        <v/>
      </c>
      <c r="H142" s="25">
        <f>IF($F142="","",$F142+$G142)</f>
        <v/>
      </c>
      <c r="I142" s="38" t="n"/>
      <c r="J142" s="37" t="n"/>
      <c r="K142" s="38" t="n"/>
      <c r="L142" s="40">
        <f>IF($A142="","",YEAR($A142))</f>
        <v/>
      </c>
      <c r="M142" s="40">
        <f>IF($A142="","",MONTH($A142))</f>
        <v/>
      </c>
      <c r="N142" s="40">
        <f>IF($J142="","",YEAR($J142))</f>
        <v/>
      </c>
      <c r="O142" s="40">
        <f>IF($J142="","",MONTH($J142))</f>
        <v/>
      </c>
    </row>
    <row r="143">
      <c r="A143" s="37" t="n"/>
      <c r="B143" s="38" t="n"/>
      <c r="C143" s="38" t="n"/>
      <c r="D143" s="38" t="n"/>
      <c r="E143" s="38" t="n"/>
      <c r="F143" s="39" t="n"/>
      <c r="G143" s="25">
        <f>IF($F143="","",IF(IFERROR(INDEX(Parámetros!$B$64:$B$68,MATCH($C143,Parámetros!$A$64:$A$68,0)),0)=1,ROUND($F143*Parámetros!$B$13,0),0))</f>
        <v/>
      </c>
      <c r="H143" s="25">
        <f>IF($F143="","",$F143+$G143)</f>
        <v/>
      </c>
      <c r="I143" s="38" t="n"/>
      <c r="J143" s="37" t="n"/>
      <c r="K143" s="38" t="n"/>
      <c r="L143" s="40">
        <f>IF($A143="","",YEAR($A143))</f>
        <v/>
      </c>
      <c r="M143" s="40">
        <f>IF($A143="","",MONTH($A143))</f>
        <v/>
      </c>
      <c r="N143" s="40">
        <f>IF($J143="","",YEAR($J143))</f>
        <v/>
      </c>
      <c r="O143" s="40">
        <f>IF($J143="","",MONTH($J143))</f>
        <v/>
      </c>
    </row>
    <row r="144">
      <c r="A144" s="37" t="n"/>
      <c r="B144" s="38" t="n"/>
      <c r="C144" s="38" t="n"/>
      <c r="D144" s="38" t="n"/>
      <c r="E144" s="38" t="n"/>
      <c r="F144" s="39" t="n"/>
      <c r="G144" s="25">
        <f>IF($F144="","",IF(IFERROR(INDEX(Parámetros!$B$64:$B$68,MATCH($C144,Parámetros!$A$64:$A$68,0)),0)=1,ROUND($F144*Parámetros!$B$13,0),0))</f>
        <v/>
      </c>
      <c r="H144" s="25">
        <f>IF($F144="","",$F144+$G144)</f>
        <v/>
      </c>
      <c r="I144" s="38" t="n"/>
      <c r="J144" s="37" t="n"/>
      <c r="K144" s="38" t="n"/>
      <c r="L144" s="40">
        <f>IF($A144="","",YEAR($A144))</f>
        <v/>
      </c>
      <c r="M144" s="40">
        <f>IF($A144="","",MONTH($A144))</f>
        <v/>
      </c>
      <c r="N144" s="40">
        <f>IF($J144="","",YEAR($J144))</f>
        <v/>
      </c>
      <c r="O144" s="40">
        <f>IF($J144="","",MONTH($J144))</f>
        <v/>
      </c>
    </row>
    <row r="145">
      <c r="A145" s="37" t="n"/>
      <c r="B145" s="38" t="n"/>
      <c r="C145" s="38" t="n"/>
      <c r="D145" s="38" t="n"/>
      <c r="E145" s="38" t="n"/>
      <c r="F145" s="39" t="n"/>
      <c r="G145" s="25">
        <f>IF($F145="","",IF(IFERROR(INDEX(Parámetros!$B$64:$B$68,MATCH($C145,Parámetros!$A$64:$A$68,0)),0)=1,ROUND($F145*Parámetros!$B$13,0),0))</f>
        <v/>
      </c>
      <c r="H145" s="25">
        <f>IF($F145="","",$F145+$G145)</f>
        <v/>
      </c>
      <c r="I145" s="38" t="n"/>
      <c r="J145" s="37" t="n"/>
      <c r="K145" s="38" t="n"/>
      <c r="L145" s="40">
        <f>IF($A145="","",YEAR($A145))</f>
        <v/>
      </c>
      <c r="M145" s="40">
        <f>IF($A145="","",MONTH($A145))</f>
        <v/>
      </c>
      <c r="N145" s="40">
        <f>IF($J145="","",YEAR($J145))</f>
        <v/>
      </c>
      <c r="O145" s="40">
        <f>IF($J145="","",MONTH($J145))</f>
        <v/>
      </c>
    </row>
    <row r="146">
      <c r="A146" s="37" t="n"/>
      <c r="B146" s="38" t="n"/>
      <c r="C146" s="38" t="n"/>
      <c r="D146" s="38" t="n"/>
      <c r="E146" s="38" t="n"/>
      <c r="F146" s="39" t="n"/>
      <c r="G146" s="25">
        <f>IF($F146="","",IF(IFERROR(INDEX(Parámetros!$B$64:$B$68,MATCH($C146,Parámetros!$A$64:$A$68,0)),0)=1,ROUND($F146*Parámetros!$B$13,0),0))</f>
        <v/>
      </c>
      <c r="H146" s="25">
        <f>IF($F146="","",$F146+$G146)</f>
        <v/>
      </c>
      <c r="I146" s="38" t="n"/>
      <c r="J146" s="37" t="n"/>
      <c r="K146" s="38" t="n"/>
      <c r="L146" s="40">
        <f>IF($A146="","",YEAR($A146))</f>
        <v/>
      </c>
      <c r="M146" s="40">
        <f>IF($A146="","",MONTH($A146))</f>
        <v/>
      </c>
      <c r="N146" s="40">
        <f>IF($J146="","",YEAR($J146))</f>
        <v/>
      </c>
      <c r="O146" s="40">
        <f>IF($J146="","",MONTH($J146))</f>
        <v/>
      </c>
    </row>
    <row r="147">
      <c r="A147" s="37" t="n"/>
      <c r="B147" s="38" t="n"/>
      <c r="C147" s="38" t="n"/>
      <c r="D147" s="38" t="n"/>
      <c r="E147" s="38" t="n"/>
      <c r="F147" s="39" t="n"/>
      <c r="G147" s="25">
        <f>IF($F147="","",IF(IFERROR(INDEX(Parámetros!$B$64:$B$68,MATCH($C147,Parámetros!$A$64:$A$68,0)),0)=1,ROUND($F147*Parámetros!$B$13,0),0))</f>
        <v/>
      </c>
      <c r="H147" s="25">
        <f>IF($F147="","",$F147+$G147)</f>
        <v/>
      </c>
      <c r="I147" s="38" t="n"/>
      <c r="J147" s="37" t="n"/>
      <c r="K147" s="38" t="n"/>
      <c r="L147" s="40">
        <f>IF($A147="","",YEAR($A147))</f>
        <v/>
      </c>
      <c r="M147" s="40">
        <f>IF($A147="","",MONTH($A147))</f>
        <v/>
      </c>
      <c r="N147" s="40">
        <f>IF($J147="","",YEAR($J147))</f>
        <v/>
      </c>
      <c r="O147" s="40">
        <f>IF($J147="","",MONTH($J147))</f>
        <v/>
      </c>
    </row>
    <row r="148">
      <c r="A148" s="37" t="n"/>
      <c r="B148" s="38" t="n"/>
      <c r="C148" s="38" t="n"/>
      <c r="D148" s="38" t="n"/>
      <c r="E148" s="38" t="n"/>
      <c r="F148" s="39" t="n"/>
      <c r="G148" s="25">
        <f>IF($F148="","",IF(IFERROR(INDEX(Parámetros!$B$64:$B$68,MATCH($C148,Parámetros!$A$64:$A$68,0)),0)=1,ROUND($F148*Parámetros!$B$13,0),0))</f>
        <v/>
      </c>
      <c r="H148" s="25">
        <f>IF($F148="","",$F148+$G148)</f>
        <v/>
      </c>
      <c r="I148" s="38" t="n"/>
      <c r="J148" s="37" t="n"/>
      <c r="K148" s="38" t="n"/>
      <c r="L148" s="40">
        <f>IF($A148="","",YEAR($A148))</f>
        <v/>
      </c>
      <c r="M148" s="40">
        <f>IF($A148="","",MONTH($A148))</f>
        <v/>
      </c>
      <c r="N148" s="40">
        <f>IF($J148="","",YEAR($J148))</f>
        <v/>
      </c>
      <c r="O148" s="40">
        <f>IF($J148="","",MONTH($J148))</f>
        <v/>
      </c>
    </row>
    <row r="149">
      <c r="A149" s="37" t="n"/>
      <c r="B149" s="38" t="n"/>
      <c r="C149" s="38" t="n"/>
      <c r="D149" s="38" t="n"/>
      <c r="E149" s="38" t="n"/>
      <c r="F149" s="39" t="n"/>
      <c r="G149" s="25">
        <f>IF($F149="","",IF(IFERROR(INDEX(Parámetros!$B$64:$B$68,MATCH($C149,Parámetros!$A$64:$A$68,0)),0)=1,ROUND($F149*Parámetros!$B$13,0),0))</f>
        <v/>
      </c>
      <c r="H149" s="25">
        <f>IF($F149="","",$F149+$G149)</f>
        <v/>
      </c>
      <c r="I149" s="38" t="n"/>
      <c r="J149" s="37" t="n"/>
      <c r="K149" s="38" t="n"/>
      <c r="L149" s="40">
        <f>IF($A149="","",YEAR($A149))</f>
        <v/>
      </c>
      <c r="M149" s="40">
        <f>IF($A149="","",MONTH($A149))</f>
        <v/>
      </c>
      <c r="N149" s="40">
        <f>IF($J149="","",YEAR($J149))</f>
        <v/>
      </c>
      <c r="O149" s="40">
        <f>IF($J149="","",MONTH($J149))</f>
        <v/>
      </c>
    </row>
    <row r="150">
      <c r="A150" s="37" t="n"/>
      <c r="B150" s="38" t="n"/>
      <c r="C150" s="38" t="n"/>
      <c r="D150" s="38" t="n"/>
      <c r="E150" s="38" t="n"/>
      <c r="F150" s="39" t="n"/>
      <c r="G150" s="25">
        <f>IF($F150="","",IF(IFERROR(INDEX(Parámetros!$B$64:$B$68,MATCH($C150,Parámetros!$A$64:$A$68,0)),0)=1,ROUND($F150*Parámetros!$B$13,0),0))</f>
        <v/>
      </c>
      <c r="H150" s="25">
        <f>IF($F150="","",$F150+$G150)</f>
        <v/>
      </c>
      <c r="I150" s="38" t="n"/>
      <c r="J150" s="37" t="n"/>
      <c r="K150" s="38" t="n"/>
      <c r="L150" s="40">
        <f>IF($A150="","",YEAR($A150))</f>
        <v/>
      </c>
      <c r="M150" s="40">
        <f>IF($A150="","",MONTH($A150))</f>
        <v/>
      </c>
      <c r="N150" s="40">
        <f>IF($J150="","",YEAR($J150))</f>
        <v/>
      </c>
      <c r="O150" s="40">
        <f>IF($J150="","",MONTH($J150))</f>
        <v/>
      </c>
    </row>
    <row r="151">
      <c r="A151" s="37" t="n"/>
      <c r="B151" s="38" t="n"/>
      <c r="C151" s="38" t="n"/>
      <c r="D151" s="38" t="n"/>
      <c r="E151" s="38" t="n"/>
      <c r="F151" s="39" t="n"/>
      <c r="G151" s="25">
        <f>IF($F151="","",IF(IFERROR(INDEX(Parámetros!$B$64:$B$68,MATCH($C151,Parámetros!$A$64:$A$68,0)),0)=1,ROUND($F151*Parámetros!$B$13,0),0))</f>
        <v/>
      </c>
      <c r="H151" s="25">
        <f>IF($F151="","",$F151+$G151)</f>
        <v/>
      </c>
      <c r="I151" s="38" t="n"/>
      <c r="J151" s="37" t="n"/>
      <c r="K151" s="38" t="n"/>
      <c r="L151" s="40">
        <f>IF($A151="","",YEAR($A151))</f>
        <v/>
      </c>
      <c r="M151" s="40">
        <f>IF($A151="","",MONTH($A151))</f>
        <v/>
      </c>
      <c r="N151" s="40">
        <f>IF($J151="","",YEAR($J151))</f>
        <v/>
      </c>
      <c r="O151" s="40">
        <f>IF($J151="","",MONTH($J151))</f>
        <v/>
      </c>
    </row>
    <row r="152">
      <c r="A152" s="37" t="n"/>
      <c r="B152" s="38" t="n"/>
      <c r="C152" s="38" t="n"/>
      <c r="D152" s="38" t="n"/>
      <c r="E152" s="38" t="n"/>
      <c r="F152" s="39" t="n"/>
      <c r="G152" s="25">
        <f>IF($F152="","",IF(IFERROR(INDEX(Parámetros!$B$64:$B$68,MATCH($C152,Parámetros!$A$64:$A$68,0)),0)=1,ROUND($F152*Parámetros!$B$13,0),0))</f>
        <v/>
      </c>
      <c r="H152" s="25">
        <f>IF($F152="","",$F152+$G152)</f>
        <v/>
      </c>
      <c r="I152" s="38" t="n"/>
      <c r="J152" s="37" t="n"/>
      <c r="K152" s="38" t="n"/>
      <c r="L152" s="40">
        <f>IF($A152="","",YEAR($A152))</f>
        <v/>
      </c>
      <c r="M152" s="40">
        <f>IF($A152="","",MONTH($A152))</f>
        <v/>
      </c>
      <c r="N152" s="40">
        <f>IF($J152="","",YEAR($J152))</f>
        <v/>
      </c>
      <c r="O152" s="40">
        <f>IF($J152="","",MONTH($J152))</f>
        <v/>
      </c>
    </row>
    <row r="153">
      <c r="A153" s="37" t="n"/>
      <c r="B153" s="38" t="n"/>
      <c r="C153" s="38" t="n"/>
      <c r="D153" s="38" t="n"/>
      <c r="E153" s="38" t="n"/>
      <c r="F153" s="39" t="n"/>
      <c r="G153" s="25">
        <f>IF($F153="","",IF(IFERROR(INDEX(Parámetros!$B$64:$B$68,MATCH($C153,Parámetros!$A$64:$A$68,0)),0)=1,ROUND($F153*Parámetros!$B$13,0),0))</f>
        <v/>
      </c>
      <c r="H153" s="25">
        <f>IF($F153="","",$F153+$G153)</f>
        <v/>
      </c>
      <c r="I153" s="38" t="n"/>
      <c r="J153" s="37" t="n"/>
      <c r="K153" s="38" t="n"/>
      <c r="L153" s="40">
        <f>IF($A153="","",YEAR($A153))</f>
        <v/>
      </c>
      <c r="M153" s="40">
        <f>IF($A153="","",MONTH($A153))</f>
        <v/>
      </c>
      <c r="N153" s="40">
        <f>IF($J153="","",YEAR($J153))</f>
        <v/>
      </c>
      <c r="O153" s="40">
        <f>IF($J153="","",MONTH($J153))</f>
        <v/>
      </c>
    </row>
    <row r="154">
      <c r="A154" s="37" t="n"/>
      <c r="B154" s="38" t="n"/>
      <c r="C154" s="38" t="n"/>
      <c r="D154" s="38" t="n"/>
      <c r="E154" s="38" t="n"/>
      <c r="F154" s="39" t="n"/>
      <c r="G154" s="25">
        <f>IF($F154="","",IF(IFERROR(INDEX(Parámetros!$B$64:$B$68,MATCH($C154,Parámetros!$A$64:$A$68,0)),0)=1,ROUND($F154*Parámetros!$B$13,0),0))</f>
        <v/>
      </c>
      <c r="H154" s="25">
        <f>IF($F154="","",$F154+$G154)</f>
        <v/>
      </c>
      <c r="I154" s="38" t="n"/>
      <c r="J154" s="37" t="n"/>
      <c r="K154" s="38" t="n"/>
      <c r="L154" s="40">
        <f>IF($A154="","",YEAR($A154))</f>
        <v/>
      </c>
      <c r="M154" s="40">
        <f>IF($A154="","",MONTH($A154))</f>
        <v/>
      </c>
      <c r="N154" s="40">
        <f>IF($J154="","",YEAR($J154))</f>
        <v/>
      </c>
      <c r="O154" s="40">
        <f>IF($J154="","",MONTH($J154))</f>
        <v/>
      </c>
    </row>
    <row r="155">
      <c r="A155" s="37" t="n"/>
      <c r="B155" s="38" t="n"/>
      <c r="C155" s="38" t="n"/>
      <c r="D155" s="38" t="n"/>
      <c r="E155" s="38" t="n"/>
      <c r="F155" s="39" t="n"/>
      <c r="G155" s="25">
        <f>IF($F155="","",IF(IFERROR(INDEX(Parámetros!$B$64:$B$68,MATCH($C155,Parámetros!$A$64:$A$68,0)),0)=1,ROUND($F155*Parámetros!$B$13,0),0))</f>
        <v/>
      </c>
      <c r="H155" s="25">
        <f>IF($F155="","",$F155+$G155)</f>
        <v/>
      </c>
      <c r="I155" s="38" t="n"/>
      <c r="J155" s="37" t="n"/>
      <c r="K155" s="38" t="n"/>
      <c r="L155" s="40">
        <f>IF($A155="","",YEAR($A155))</f>
        <v/>
      </c>
      <c r="M155" s="40">
        <f>IF($A155="","",MONTH($A155))</f>
        <v/>
      </c>
      <c r="N155" s="40">
        <f>IF($J155="","",YEAR($J155))</f>
        <v/>
      </c>
      <c r="O155" s="40">
        <f>IF($J155="","",MONTH($J155))</f>
        <v/>
      </c>
    </row>
    <row r="156">
      <c r="A156" s="37" t="n"/>
      <c r="B156" s="38" t="n"/>
      <c r="C156" s="38" t="n"/>
      <c r="D156" s="38" t="n"/>
      <c r="E156" s="38" t="n"/>
      <c r="F156" s="39" t="n"/>
      <c r="G156" s="25">
        <f>IF($F156="","",IF(IFERROR(INDEX(Parámetros!$B$64:$B$68,MATCH($C156,Parámetros!$A$64:$A$68,0)),0)=1,ROUND($F156*Parámetros!$B$13,0),0))</f>
        <v/>
      </c>
      <c r="H156" s="25">
        <f>IF($F156="","",$F156+$G156)</f>
        <v/>
      </c>
      <c r="I156" s="38" t="n"/>
      <c r="J156" s="37" t="n"/>
      <c r="K156" s="38" t="n"/>
      <c r="L156" s="40">
        <f>IF($A156="","",YEAR($A156))</f>
        <v/>
      </c>
      <c r="M156" s="40">
        <f>IF($A156="","",MONTH($A156))</f>
        <v/>
      </c>
      <c r="N156" s="40">
        <f>IF($J156="","",YEAR($J156))</f>
        <v/>
      </c>
      <c r="O156" s="40">
        <f>IF($J156="","",MONTH($J156))</f>
        <v/>
      </c>
    </row>
    <row r="157">
      <c r="A157" s="37" t="n"/>
      <c r="B157" s="38" t="n"/>
      <c r="C157" s="38" t="n"/>
      <c r="D157" s="38" t="n"/>
      <c r="E157" s="38" t="n"/>
      <c r="F157" s="39" t="n"/>
      <c r="G157" s="25">
        <f>IF($F157="","",IF(IFERROR(INDEX(Parámetros!$B$64:$B$68,MATCH($C157,Parámetros!$A$64:$A$68,0)),0)=1,ROUND($F157*Parámetros!$B$13,0),0))</f>
        <v/>
      </c>
      <c r="H157" s="25">
        <f>IF($F157="","",$F157+$G157)</f>
        <v/>
      </c>
      <c r="I157" s="38" t="n"/>
      <c r="J157" s="37" t="n"/>
      <c r="K157" s="38" t="n"/>
      <c r="L157" s="40">
        <f>IF($A157="","",YEAR($A157))</f>
        <v/>
      </c>
      <c r="M157" s="40">
        <f>IF($A157="","",MONTH($A157))</f>
        <v/>
      </c>
      <c r="N157" s="40">
        <f>IF($J157="","",YEAR($J157))</f>
        <v/>
      </c>
      <c r="O157" s="40">
        <f>IF($J157="","",MONTH($J157))</f>
        <v/>
      </c>
    </row>
  </sheetData>
  <autoFilter ref="A7:O157"/>
  <mergeCells count="6">
    <mergeCell ref="D4:F4"/>
    <mergeCell ref="A2:K2"/>
    <mergeCell ref="G4:I4"/>
    <mergeCell ref="A5:K5"/>
    <mergeCell ref="A4:C4"/>
    <mergeCell ref="A1:K1"/>
  </mergeCells>
  <dataValidations count="3">
    <dataValidation sqref="C8:C157" showDropDown="0" showInputMessage="0" showErrorMessage="0" allowBlank="1" errorTitle="Valor no válido" error="Elige uno de la lista (se define en Parámetros §7)." promptTitle="Tipo de documento" prompt="Elige uno de la lista (se define en Parámetros §7)." type="list">
      <formula1>Parámetros!$A$64:$A$68</formula1>
    </dataValidation>
    <dataValidation sqref="I8:I157" showDropDown="0" showInputMessage="0" showErrorMessage="0" allowBlank="1" errorTitle="Valor no válido" error="Pendiente de pago o Pagada." promptTitle="Estado" prompt="Pendiente de pago o Pagada." type="list">
      <formula1>"Pendiente de pago,Pagada"</formula1>
    </dataValidation>
    <dataValidation sqref="K8:K157" showDropDown="0" showInputMessage="0" showErrorMessage="0" allowBlank="1" errorTitle="Valor no válido" error="Elige uno de la lista (Parámetros §8)." promptTitle="Medio de pago" prompt="Elige uno de la lista (Parámetros §8)." type="list">
      <formula1>Parámetros!$B$72:$B$88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V2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4" customWidth="1" min="4" max="4"/>
    <col width="24" customWidth="1" min="5" max="5"/>
    <col width="32" customWidth="1" min="6" max="6"/>
    <col width="15" customWidth="1" min="7" max="7"/>
    <col width="12" customWidth="1" min="8" max="8"/>
    <col width="13" customWidth="1" min="9" max="9"/>
    <col width="12" customWidth="1" min="10" max="10"/>
    <col width="14" customWidth="1" min="11" max="11"/>
    <col width="12" customWidth="1" min="12" max="12"/>
    <col width="14" customWidth="1" min="13" max="13"/>
    <col width="16" customWidth="1" min="14" max="14"/>
    <col width="14" customWidth="1" min="15" max="15"/>
    <col width="12" customWidth="1" min="16" max="16"/>
    <col width="12" customWidth="1" min="17" max="17"/>
    <col width="17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 ht="26" customHeight="1">
      <c r="A1" s="17" t="inlineStr">
        <is>
          <t>Gastos</t>
        </is>
      </c>
    </row>
    <row r="2" ht="15" customHeight="1">
      <c r="A2" s="29" t="inlineStr">
        <is>
          <t>Una fila por documento que RECIBES. Escribe el monto tal como viene en el documento y marca si trae IVA adentro: el resto se calcula solo.</t>
        </is>
      </c>
    </row>
    <row r="4">
      <c r="A4" s="30" t="inlineStr">
        <is>
          <t>Azul = lo escribes tú</t>
        </is>
      </c>
      <c r="D4" s="31" t="inlineStr">
        <is>
          <t>Negro = fórmula, no tocar</t>
        </is>
      </c>
      <c r="G4" s="32" t="inlineStr">
        <is>
          <t>Verde = viene de otra hoja</t>
        </is>
      </c>
    </row>
    <row r="5" ht="26" customHeight="1">
      <c r="A5" s="16" t="inlineStr">
        <is>
          <t>Las 3 primeras filas son un ejemplo del formato esperado: bórralas cuando empieces. «¿Gasto aceptado?» = si el SII lo acepta como gasto de la empresa. Todo lo personal va en No (y en rigor no debería pasar por la cuenta de la empresa).</t>
        </is>
      </c>
    </row>
    <row r="7" ht="30" customHeight="1">
      <c r="A7" s="9" t="inlineStr">
        <is>
          <t>Fecha doc.</t>
        </is>
      </c>
      <c r="B7" s="9" t="inlineStr">
        <is>
          <t>N° documento</t>
        </is>
      </c>
      <c r="C7" s="9" t="inlineStr">
        <is>
          <t>Tipo de documento</t>
        </is>
      </c>
      <c r="D7" s="9" t="inlineStr">
        <is>
          <t>Proveedor</t>
        </is>
      </c>
      <c r="E7" s="9" t="inlineStr">
        <is>
          <t>Categoría</t>
        </is>
      </c>
      <c r="F7" s="9" t="inlineStr">
        <is>
          <t>Descripción</t>
        </is>
      </c>
      <c r="G7" s="9" t="inlineStr">
        <is>
          <t>Monto del doc. ($)</t>
        </is>
      </c>
      <c r="H7" s="9" t="inlineStr">
        <is>
          <t>¿Incluye IVA?</t>
        </is>
      </c>
      <c r="I7" s="9" t="inlineStr">
        <is>
          <t>Neto ($)</t>
        </is>
      </c>
      <c r="J7" s="9" t="inlineStr">
        <is>
          <t>IVA ($)</t>
        </is>
      </c>
      <c r="K7" s="9" t="inlineStr">
        <is>
          <t>Crédito fiscal ($)</t>
        </is>
      </c>
      <c r="L7" s="9" t="inlineStr">
        <is>
          <t>Retención ($)</t>
        </is>
      </c>
      <c r="M7" s="9" t="inlineStr">
        <is>
          <t>Total doc. ($)</t>
        </is>
      </c>
      <c r="N7" s="9" t="inlineStr">
        <is>
          <t>Pago al proveedor ($)</t>
        </is>
      </c>
      <c r="O7" s="9" t="inlineStr">
        <is>
          <t>¿Gasto aceptado?</t>
        </is>
      </c>
      <c r="P7" s="9" t="inlineStr">
        <is>
          <t>Estado</t>
        </is>
      </c>
      <c r="Q7" s="9" t="inlineStr">
        <is>
          <t>Fecha de pago</t>
        </is>
      </c>
      <c r="R7" s="9" t="inlineStr">
        <is>
          <t>Medio de pago</t>
        </is>
      </c>
      <c r="S7" s="9" t="inlineStr">
        <is>
          <t>Año doc.</t>
        </is>
      </c>
      <c r="T7" s="9" t="inlineStr">
        <is>
          <t>Mes doc.</t>
        </is>
      </c>
      <c r="U7" s="9" t="inlineStr">
        <is>
          <t>Año pago</t>
        </is>
      </c>
      <c r="V7" s="9" t="inlineStr">
        <is>
          <t>Mes pago</t>
        </is>
      </c>
    </row>
    <row r="8">
      <c r="A8" s="33" t="n">
        <v>46024</v>
      </c>
      <c r="B8" s="34" t="inlineStr">
        <is>
          <t>F-88213</t>
        </is>
      </c>
      <c r="C8" s="34" t="inlineStr">
        <is>
          <t>Factura afecta</t>
        </is>
      </c>
      <c r="D8" s="34" t="inlineStr">
        <is>
          <t>Contador Pérez y Cía.</t>
        </is>
      </c>
      <c r="E8" s="34" t="inlineStr">
        <is>
          <t>Contabilidad y legal</t>
        </is>
      </c>
      <c r="F8" s="34" t="inlineStr">
        <is>
          <t>Honorarios contables enero</t>
        </is>
      </c>
      <c r="G8" s="35" t="n">
        <v>150000</v>
      </c>
      <c r="H8" s="34" t="inlineStr">
        <is>
          <t>No</t>
        </is>
      </c>
      <c r="I8" s="35">
        <f>IF($G8="","",IF(AND($H8="Sí",IFERROR(INDEX(Parámetros!$B$54:$B$60,MATCH($C8,Parámetros!$A$54:$A$60,0)),0)=1),ROUND($G8/(1+Parámetros!$B$13),0),$G8))</f>
        <v/>
      </c>
      <c r="J8" s="35">
        <f>IF($G8="","",IF(IFERROR(INDEX(Parámetros!$B$54:$B$60,MATCH($C8,Parámetros!$A$54:$A$60,0)),0)=1,ROUND($I8*Parámetros!$B$13,0),0))</f>
        <v/>
      </c>
      <c r="K8" s="35">
        <f>IF($G8="","",IF(IFERROR(INDEX(Parámetros!$C$54:$C$60,MATCH($C8,Parámetros!$A$54:$A$60,0)),0)=1,$J8,0))</f>
        <v/>
      </c>
      <c r="L8" s="35">
        <f>IF($G8="","",IF(IFERROR(INDEX(Parámetros!$D$54:$D$60,MATCH($C8,Parámetros!$A$54:$A$60,0)),0)=1,ROUND($I8*Parámetros!$B$16,0),0))</f>
        <v/>
      </c>
      <c r="M8" s="35">
        <f>IF($G8="","",$I8+$J8)</f>
        <v/>
      </c>
      <c r="N8" s="35">
        <f>IF($G8="","",$M8-$L8)</f>
        <v/>
      </c>
      <c r="O8" s="34" t="inlineStr">
        <is>
          <t>Sí</t>
        </is>
      </c>
      <c r="P8" s="34" t="inlineStr">
        <is>
          <t>Pagado</t>
        </is>
      </c>
      <c r="Q8" s="33" t="n">
        <v>46027</v>
      </c>
      <c r="R8" s="34" t="inlineStr">
        <is>
          <t>Transferencia</t>
        </is>
      </c>
      <c r="S8" s="36">
        <f>IF($A8="","",YEAR($A8))</f>
        <v/>
      </c>
      <c r="T8" s="36">
        <f>IF($A8="","",MONTH($A8))</f>
        <v/>
      </c>
      <c r="U8" s="36">
        <f>IF($Q8="","",YEAR($Q8))</f>
        <v/>
      </c>
      <c r="V8" s="36">
        <f>IF($Q8="","",MONTH($Q8))</f>
        <v/>
      </c>
    </row>
    <row r="9">
      <c r="A9" s="33" t="n">
        <v>46030</v>
      </c>
      <c r="B9" s="34" t="inlineStr">
        <is>
          <t>—</t>
        </is>
      </c>
      <c r="C9" s="34" t="inlineStr">
        <is>
          <t>Servicio digital extranjero</t>
        </is>
      </c>
      <c r="D9" s="34" t="inlineStr">
        <is>
          <t>Anthropic</t>
        </is>
      </c>
      <c r="E9" s="34" t="inlineStr">
        <is>
          <t>Software y suscripciones</t>
        </is>
      </c>
      <c r="F9" s="34" t="inlineStr">
        <is>
          <t>Claude · plan equipo</t>
        </is>
      </c>
      <c r="G9" s="35" t="n">
        <v>71400</v>
      </c>
      <c r="H9" s="34" t="inlineStr">
        <is>
          <t>Sí</t>
        </is>
      </c>
      <c r="I9" s="35">
        <f>IF($G9="","",IF(AND($H9="Sí",IFERROR(INDEX(Parámetros!$B$54:$B$60,MATCH($C9,Parámetros!$A$54:$A$60,0)),0)=1),ROUND($G9/(1+Parámetros!$B$13),0),$G9))</f>
        <v/>
      </c>
      <c r="J9" s="35">
        <f>IF($G9="","",IF(IFERROR(INDEX(Parámetros!$B$54:$B$60,MATCH($C9,Parámetros!$A$54:$A$60,0)),0)=1,ROUND($I9*Parámetros!$B$13,0),0))</f>
        <v/>
      </c>
      <c r="K9" s="35">
        <f>IF($G9="","",IF(IFERROR(INDEX(Parámetros!$C$54:$C$60,MATCH($C9,Parámetros!$A$54:$A$60,0)),0)=1,$J9,0))</f>
        <v/>
      </c>
      <c r="L9" s="35">
        <f>IF($G9="","",IF(IFERROR(INDEX(Parámetros!$D$54:$D$60,MATCH($C9,Parámetros!$A$54:$A$60,0)),0)=1,ROUND($I9*Parámetros!$B$16,0),0))</f>
        <v/>
      </c>
      <c r="M9" s="35">
        <f>IF($G9="","",$I9+$J9)</f>
        <v/>
      </c>
      <c r="N9" s="35">
        <f>IF($G9="","",$M9-$L9)</f>
        <v/>
      </c>
      <c r="O9" s="34" t="inlineStr">
        <is>
          <t>Sí</t>
        </is>
      </c>
      <c r="P9" s="34" t="inlineStr">
        <is>
          <t>Pagado</t>
        </is>
      </c>
      <c r="Q9" s="33" t="n">
        <v>46030</v>
      </c>
      <c r="R9" s="34" t="inlineStr">
        <is>
          <t>Tarjeta de crédito</t>
        </is>
      </c>
      <c r="S9" s="36">
        <f>IF($A9="","",YEAR($A9))</f>
        <v/>
      </c>
      <c r="T9" s="36">
        <f>IF($A9="","",MONTH($A9))</f>
        <v/>
      </c>
      <c r="U9" s="36">
        <f>IF($Q9="","",YEAR($Q9))</f>
        <v/>
      </c>
      <c r="V9" s="36">
        <f>IF($Q9="","",MONTH($Q9))</f>
        <v/>
      </c>
    </row>
    <row r="10">
      <c r="A10" s="33" t="n">
        <v>46037</v>
      </c>
      <c r="B10" s="34" t="inlineStr">
        <is>
          <t>BH-412</t>
        </is>
      </c>
      <c r="C10" s="34" t="inlineStr">
        <is>
          <t>Boleta de honorarios recibida</t>
        </is>
      </c>
      <c r="D10" s="34" t="inlineStr">
        <is>
          <t>Diseñador freelance</t>
        </is>
      </c>
      <c r="E10" s="34" t="inlineStr">
        <is>
          <t>Subcontratos y freelance</t>
        </is>
      </c>
      <c r="F10" s="34" t="inlineStr">
        <is>
          <t>Diseño de fichas · proyecto Bike Trust</t>
        </is>
      </c>
      <c r="G10" s="35" t="n">
        <v>400000</v>
      </c>
      <c r="H10" s="34" t="inlineStr">
        <is>
          <t>No</t>
        </is>
      </c>
      <c r="I10" s="35">
        <f>IF($G10="","",IF(AND($H10="Sí",IFERROR(INDEX(Parámetros!$B$54:$B$60,MATCH($C10,Parámetros!$A$54:$A$60,0)),0)=1),ROUND($G10/(1+Parámetros!$B$13),0),$G10))</f>
        <v/>
      </c>
      <c r="J10" s="35">
        <f>IF($G10="","",IF(IFERROR(INDEX(Parámetros!$B$54:$B$60,MATCH($C10,Parámetros!$A$54:$A$60,0)),0)=1,ROUND($I10*Parámetros!$B$13,0),0))</f>
        <v/>
      </c>
      <c r="K10" s="35">
        <f>IF($G10="","",IF(IFERROR(INDEX(Parámetros!$C$54:$C$60,MATCH($C10,Parámetros!$A$54:$A$60,0)),0)=1,$J10,0))</f>
        <v/>
      </c>
      <c r="L10" s="35">
        <f>IF($G10="","",IF(IFERROR(INDEX(Parámetros!$D$54:$D$60,MATCH($C10,Parámetros!$A$54:$A$60,0)),0)=1,ROUND($I10*Parámetros!$B$16,0),0))</f>
        <v/>
      </c>
      <c r="M10" s="35">
        <f>IF($G10="","",$I10+$J10)</f>
        <v/>
      </c>
      <c r="N10" s="35">
        <f>IF($G10="","",$M10-$L10)</f>
        <v/>
      </c>
      <c r="O10" s="34" t="inlineStr">
        <is>
          <t>Sí</t>
        </is>
      </c>
      <c r="P10" s="34" t="inlineStr">
        <is>
          <t>Pagado</t>
        </is>
      </c>
      <c r="Q10" s="33" t="n">
        <v>46042</v>
      </c>
      <c r="R10" s="34" t="inlineStr">
        <is>
          <t>Transferencia</t>
        </is>
      </c>
      <c r="S10" s="36">
        <f>IF($A10="","",YEAR($A10))</f>
        <v/>
      </c>
      <c r="T10" s="36">
        <f>IF($A10="","",MONTH($A10))</f>
        <v/>
      </c>
      <c r="U10" s="36">
        <f>IF($Q10="","",YEAR($Q10))</f>
        <v/>
      </c>
      <c r="V10" s="36">
        <f>IF($Q10="","",MONTH($Q10))</f>
        <v/>
      </c>
    </row>
    <row r="11">
      <c r="A11" s="37" t="n"/>
      <c r="B11" s="38" t="n"/>
      <c r="C11" s="38" t="n"/>
      <c r="D11" s="38" t="n"/>
      <c r="E11" s="38" t="n"/>
      <c r="F11" s="38" t="n"/>
      <c r="G11" s="39" t="n"/>
      <c r="H11" s="38" t="n"/>
      <c r="I11" s="25">
        <f>IF($G11="","",IF(AND($H11="Sí",IFERROR(INDEX(Parámetros!$B$54:$B$60,MATCH($C11,Parámetros!$A$54:$A$60,0)),0)=1),ROUND($G11/(1+Parámetros!$B$13),0),$G11))</f>
        <v/>
      </c>
      <c r="J11" s="25">
        <f>IF($G11="","",IF(IFERROR(INDEX(Parámetros!$B$54:$B$60,MATCH($C11,Parámetros!$A$54:$A$60,0)),0)=1,ROUND($I11*Parámetros!$B$13,0),0))</f>
        <v/>
      </c>
      <c r="K11" s="25">
        <f>IF($G11="","",IF(IFERROR(INDEX(Parámetros!$C$54:$C$60,MATCH($C11,Parámetros!$A$54:$A$60,0)),0)=1,$J11,0))</f>
        <v/>
      </c>
      <c r="L11" s="25">
        <f>IF($G11="","",IF(IFERROR(INDEX(Parámetros!$D$54:$D$60,MATCH($C11,Parámetros!$A$54:$A$60,0)),0)=1,ROUND($I11*Parámetros!$B$16,0),0))</f>
        <v/>
      </c>
      <c r="M11" s="25">
        <f>IF($G11="","",$I11+$J11)</f>
        <v/>
      </c>
      <c r="N11" s="25">
        <f>IF($G11="","",$M11-$L11)</f>
        <v/>
      </c>
      <c r="O11" s="38" t="n"/>
      <c r="P11" s="38" t="n"/>
      <c r="Q11" s="37" t="n"/>
      <c r="R11" s="38" t="n"/>
      <c r="S11" s="40">
        <f>IF($A11="","",YEAR($A11))</f>
        <v/>
      </c>
      <c r="T11" s="40">
        <f>IF($A11="","",MONTH($A11))</f>
        <v/>
      </c>
      <c r="U11" s="40">
        <f>IF($Q11="","",YEAR($Q11))</f>
        <v/>
      </c>
      <c r="V11" s="40">
        <f>IF($Q11="","",MONTH($Q11))</f>
        <v/>
      </c>
    </row>
    <row r="12">
      <c r="A12" s="37" t="n"/>
      <c r="B12" s="38" t="n"/>
      <c r="C12" s="38" t="n"/>
      <c r="D12" s="38" t="n"/>
      <c r="E12" s="38" t="n"/>
      <c r="F12" s="38" t="n"/>
      <c r="G12" s="39" t="n"/>
      <c r="H12" s="38" t="n"/>
      <c r="I12" s="25">
        <f>IF($G12="","",IF(AND($H12="Sí",IFERROR(INDEX(Parámetros!$B$54:$B$60,MATCH($C12,Parámetros!$A$54:$A$60,0)),0)=1),ROUND($G12/(1+Parámetros!$B$13),0),$G12))</f>
        <v/>
      </c>
      <c r="J12" s="25">
        <f>IF($G12="","",IF(IFERROR(INDEX(Parámetros!$B$54:$B$60,MATCH($C12,Parámetros!$A$54:$A$60,0)),0)=1,ROUND($I12*Parámetros!$B$13,0),0))</f>
        <v/>
      </c>
      <c r="K12" s="25">
        <f>IF($G12="","",IF(IFERROR(INDEX(Parámetros!$C$54:$C$60,MATCH($C12,Parámetros!$A$54:$A$60,0)),0)=1,$J12,0))</f>
        <v/>
      </c>
      <c r="L12" s="25">
        <f>IF($G12="","",IF(IFERROR(INDEX(Parámetros!$D$54:$D$60,MATCH($C12,Parámetros!$A$54:$A$60,0)),0)=1,ROUND($I12*Parámetros!$B$16,0),0))</f>
        <v/>
      </c>
      <c r="M12" s="25">
        <f>IF($G12="","",$I12+$J12)</f>
        <v/>
      </c>
      <c r="N12" s="25">
        <f>IF($G12="","",$M12-$L12)</f>
        <v/>
      </c>
      <c r="O12" s="38" t="n"/>
      <c r="P12" s="38" t="n"/>
      <c r="Q12" s="37" t="n"/>
      <c r="R12" s="38" t="n"/>
      <c r="S12" s="40">
        <f>IF($A12="","",YEAR($A12))</f>
        <v/>
      </c>
      <c r="T12" s="40">
        <f>IF($A12="","",MONTH($A12))</f>
        <v/>
      </c>
      <c r="U12" s="40">
        <f>IF($Q12="","",YEAR($Q12))</f>
        <v/>
      </c>
      <c r="V12" s="40">
        <f>IF($Q12="","",MONTH($Q12))</f>
        <v/>
      </c>
    </row>
    <row r="13">
      <c r="A13" s="37" t="n"/>
      <c r="B13" s="38" t="n"/>
      <c r="C13" s="38" t="n"/>
      <c r="D13" s="38" t="n"/>
      <c r="E13" s="38" t="n"/>
      <c r="F13" s="38" t="n"/>
      <c r="G13" s="39" t="n"/>
      <c r="H13" s="38" t="n"/>
      <c r="I13" s="25">
        <f>IF($G13="","",IF(AND($H13="Sí",IFERROR(INDEX(Parámetros!$B$54:$B$60,MATCH($C13,Parámetros!$A$54:$A$60,0)),0)=1),ROUND($G13/(1+Parámetros!$B$13),0),$G13))</f>
        <v/>
      </c>
      <c r="J13" s="25">
        <f>IF($G13="","",IF(IFERROR(INDEX(Parámetros!$B$54:$B$60,MATCH($C13,Parámetros!$A$54:$A$60,0)),0)=1,ROUND($I13*Parámetros!$B$13,0),0))</f>
        <v/>
      </c>
      <c r="K13" s="25">
        <f>IF($G13="","",IF(IFERROR(INDEX(Parámetros!$C$54:$C$60,MATCH($C13,Parámetros!$A$54:$A$60,0)),0)=1,$J13,0))</f>
        <v/>
      </c>
      <c r="L13" s="25">
        <f>IF($G13="","",IF(IFERROR(INDEX(Parámetros!$D$54:$D$60,MATCH($C13,Parámetros!$A$54:$A$60,0)),0)=1,ROUND($I13*Parámetros!$B$16,0),0))</f>
        <v/>
      </c>
      <c r="M13" s="25">
        <f>IF($G13="","",$I13+$J13)</f>
        <v/>
      </c>
      <c r="N13" s="25">
        <f>IF($G13="","",$M13-$L13)</f>
        <v/>
      </c>
      <c r="O13" s="38" t="n"/>
      <c r="P13" s="38" t="n"/>
      <c r="Q13" s="37" t="n"/>
      <c r="R13" s="38" t="n"/>
      <c r="S13" s="40">
        <f>IF($A13="","",YEAR($A13))</f>
        <v/>
      </c>
      <c r="T13" s="40">
        <f>IF($A13="","",MONTH($A13))</f>
        <v/>
      </c>
      <c r="U13" s="40">
        <f>IF($Q13="","",YEAR($Q13))</f>
        <v/>
      </c>
      <c r="V13" s="40">
        <f>IF($Q13="","",MONTH($Q13))</f>
        <v/>
      </c>
    </row>
    <row r="14">
      <c r="A14" s="37" t="n"/>
      <c r="B14" s="38" t="n"/>
      <c r="C14" s="38" t="n"/>
      <c r="D14" s="38" t="n"/>
      <c r="E14" s="38" t="n"/>
      <c r="F14" s="38" t="n"/>
      <c r="G14" s="39" t="n"/>
      <c r="H14" s="38" t="n"/>
      <c r="I14" s="25">
        <f>IF($G14="","",IF(AND($H14="Sí",IFERROR(INDEX(Parámetros!$B$54:$B$60,MATCH($C14,Parámetros!$A$54:$A$60,0)),0)=1),ROUND($G14/(1+Parámetros!$B$13),0),$G14))</f>
        <v/>
      </c>
      <c r="J14" s="25">
        <f>IF($G14="","",IF(IFERROR(INDEX(Parámetros!$B$54:$B$60,MATCH($C14,Parámetros!$A$54:$A$60,0)),0)=1,ROUND($I14*Parámetros!$B$13,0),0))</f>
        <v/>
      </c>
      <c r="K14" s="25">
        <f>IF($G14="","",IF(IFERROR(INDEX(Parámetros!$C$54:$C$60,MATCH($C14,Parámetros!$A$54:$A$60,0)),0)=1,$J14,0))</f>
        <v/>
      </c>
      <c r="L14" s="25">
        <f>IF($G14="","",IF(IFERROR(INDEX(Parámetros!$D$54:$D$60,MATCH($C14,Parámetros!$A$54:$A$60,0)),0)=1,ROUND($I14*Parámetros!$B$16,0),0))</f>
        <v/>
      </c>
      <c r="M14" s="25">
        <f>IF($G14="","",$I14+$J14)</f>
        <v/>
      </c>
      <c r="N14" s="25">
        <f>IF($G14="","",$M14-$L14)</f>
        <v/>
      </c>
      <c r="O14" s="38" t="n"/>
      <c r="P14" s="38" t="n"/>
      <c r="Q14" s="37" t="n"/>
      <c r="R14" s="38" t="n"/>
      <c r="S14" s="40">
        <f>IF($A14="","",YEAR($A14))</f>
        <v/>
      </c>
      <c r="T14" s="40">
        <f>IF($A14="","",MONTH($A14))</f>
        <v/>
      </c>
      <c r="U14" s="40">
        <f>IF($Q14="","",YEAR($Q14))</f>
        <v/>
      </c>
      <c r="V14" s="40">
        <f>IF($Q14="","",MONTH($Q14))</f>
        <v/>
      </c>
    </row>
    <row r="15">
      <c r="A15" s="37" t="n"/>
      <c r="B15" s="38" t="n"/>
      <c r="C15" s="38" t="n"/>
      <c r="D15" s="38" t="n"/>
      <c r="E15" s="38" t="n"/>
      <c r="F15" s="38" t="n"/>
      <c r="G15" s="39" t="n"/>
      <c r="H15" s="38" t="n"/>
      <c r="I15" s="25">
        <f>IF($G15="","",IF(AND($H15="Sí",IFERROR(INDEX(Parámetros!$B$54:$B$60,MATCH($C15,Parámetros!$A$54:$A$60,0)),0)=1),ROUND($G15/(1+Parámetros!$B$13),0),$G15))</f>
        <v/>
      </c>
      <c r="J15" s="25">
        <f>IF($G15="","",IF(IFERROR(INDEX(Parámetros!$B$54:$B$60,MATCH($C15,Parámetros!$A$54:$A$60,0)),0)=1,ROUND($I15*Parámetros!$B$13,0),0))</f>
        <v/>
      </c>
      <c r="K15" s="25">
        <f>IF($G15="","",IF(IFERROR(INDEX(Parámetros!$C$54:$C$60,MATCH($C15,Parámetros!$A$54:$A$60,0)),0)=1,$J15,0))</f>
        <v/>
      </c>
      <c r="L15" s="25">
        <f>IF($G15="","",IF(IFERROR(INDEX(Parámetros!$D$54:$D$60,MATCH($C15,Parámetros!$A$54:$A$60,0)),0)=1,ROUND($I15*Parámetros!$B$16,0),0))</f>
        <v/>
      </c>
      <c r="M15" s="25">
        <f>IF($G15="","",$I15+$J15)</f>
        <v/>
      </c>
      <c r="N15" s="25">
        <f>IF($G15="","",$M15-$L15)</f>
        <v/>
      </c>
      <c r="O15" s="38" t="n"/>
      <c r="P15" s="38" t="n"/>
      <c r="Q15" s="37" t="n"/>
      <c r="R15" s="38" t="n"/>
      <c r="S15" s="40">
        <f>IF($A15="","",YEAR($A15))</f>
        <v/>
      </c>
      <c r="T15" s="40">
        <f>IF($A15="","",MONTH($A15))</f>
        <v/>
      </c>
      <c r="U15" s="40">
        <f>IF($Q15="","",YEAR($Q15))</f>
        <v/>
      </c>
      <c r="V15" s="40">
        <f>IF($Q15="","",MONTH($Q15))</f>
        <v/>
      </c>
    </row>
    <row r="16">
      <c r="A16" s="37" t="n"/>
      <c r="B16" s="38" t="n"/>
      <c r="C16" s="38" t="n"/>
      <c r="D16" s="38" t="n"/>
      <c r="E16" s="38" t="n"/>
      <c r="F16" s="38" t="n"/>
      <c r="G16" s="39" t="n"/>
      <c r="H16" s="38" t="n"/>
      <c r="I16" s="25">
        <f>IF($G16="","",IF(AND($H16="Sí",IFERROR(INDEX(Parámetros!$B$54:$B$60,MATCH($C16,Parámetros!$A$54:$A$60,0)),0)=1),ROUND($G16/(1+Parámetros!$B$13),0),$G16))</f>
        <v/>
      </c>
      <c r="J16" s="25">
        <f>IF($G16="","",IF(IFERROR(INDEX(Parámetros!$B$54:$B$60,MATCH($C16,Parámetros!$A$54:$A$60,0)),0)=1,ROUND($I16*Parámetros!$B$13,0),0))</f>
        <v/>
      </c>
      <c r="K16" s="25">
        <f>IF($G16="","",IF(IFERROR(INDEX(Parámetros!$C$54:$C$60,MATCH($C16,Parámetros!$A$54:$A$60,0)),0)=1,$J16,0))</f>
        <v/>
      </c>
      <c r="L16" s="25">
        <f>IF($G16="","",IF(IFERROR(INDEX(Parámetros!$D$54:$D$60,MATCH($C16,Parámetros!$A$54:$A$60,0)),0)=1,ROUND($I16*Parámetros!$B$16,0),0))</f>
        <v/>
      </c>
      <c r="M16" s="25">
        <f>IF($G16="","",$I16+$J16)</f>
        <v/>
      </c>
      <c r="N16" s="25">
        <f>IF($G16="","",$M16-$L16)</f>
        <v/>
      </c>
      <c r="O16" s="38" t="n"/>
      <c r="P16" s="38" t="n"/>
      <c r="Q16" s="37" t="n"/>
      <c r="R16" s="38" t="n"/>
      <c r="S16" s="40">
        <f>IF($A16="","",YEAR($A16))</f>
        <v/>
      </c>
      <c r="T16" s="40">
        <f>IF($A16="","",MONTH($A16))</f>
        <v/>
      </c>
      <c r="U16" s="40">
        <f>IF($Q16="","",YEAR($Q16))</f>
        <v/>
      </c>
      <c r="V16" s="40">
        <f>IF($Q16="","",MONTH($Q16))</f>
        <v/>
      </c>
    </row>
    <row r="17">
      <c r="A17" s="37" t="n"/>
      <c r="B17" s="38" t="n"/>
      <c r="C17" s="38" t="n"/>
      <c r="D17" s="38" t="n"/>
      <c r="E17" s="38" t="n"/>
      <c r="F17" s="38" t="n"/>
      <c r="G17" s="39" t="n"/>
      <c r="H17" s="38" t="n"/>
      <c r="I17" s="25">
        <f>IF($G17="","",IF(AND($H17="Sí",IFERROR(INDEX(Parámetros!$B$54:$B$60,MATCH($C17,Parámetros!$A$54:$A$60,0)),0)=1),ROUND($G17/(1+Parámetros!$B$13),0),$G17))</f>
        <v/>
      </c>
      <c r="J17" s="25">
        <f>IF($G17="","",IF(IFERROR(INDEX(Parámetros!$B$54:$B$60,MATCH($C17,Parámetros!$A$54:$A$60,0)),0)=1,ROUND($I17*Parámetros!$B$13,0),0))</f>
        <v/>
      </c>
      <c r="K17" s="25">
        <f>IF($G17="","",IF(IFERROR(INDEX(Parámetros!$C$54:$C$60,MATCH($C17,Parámetros!$A$54:$A$60,0)),0)=1,$J17,0))</f>
        <v/>
      </c>
      <c r="L17" s="25">
        <f>IF($G17="","",IF(IFERROR(INDEX(Parámetros!$D$54:$D$60,MATCH($C17,Parámetros!$A$54:$A$60,0)),0)=1,ROUND($I17*Parámetros!$B$16,0),0))</f>
        <v/>
      </c>
      <c r="M17" s="25">
        <f>IF($G17="","",$I17+$J17)</f>
        <v/>
      </c>
      <c r="N17" s="25">
        <f>IF($G17="","",$M17-$L17)</f>
        <v/>
      </c>
      <c r="O17" s="38" t="n"/>
      <c r="P17" s="38" t="n"/>
      <c r="Q17" s="37" t="n"/>
      <c r="R17" s="38" t="n"/>
      <c r="S17" s="40">
        <f>IF($A17="","",YEAR($A17))</f>
        <v/>
      </c>
      <c r="T17" s="40">
        <f>IF($A17="","",MONTH($A17))</f>
        <v/>
      </c>
      <c r="U17" s="40">
        <f>IF($Q17="","",YEAR($Q17))</f>
        <v/>
      </c>
      <c r="V17" s="40">
        <f>IF($Q17="","",MONTH($Q17))</f>
        <v/>
      </c>
    </row>
    <row r="18">
      <c r="A18" s="37" t="n"/>
      <c r="B18" s="38" t="n"/>
      <c r="C18" s="38" t="n"/>
      <c r="D18" s="38" t="n"/>
      <c r="E18" s="38" t="n"/>
      <c r="F18" s="38" t="n"/>
      <c r="G18" s="39" t="n"/>
      <c r="H18" s="38" t="n"/>
      <c r="I18" s="25">
        <f>IF($G18="","",IF(AND($H18="Sí",IFERROR(INDEX(Parámetros!$B$54:$B$60,MATCH($C18,Parámetros!$A$54:$A$60,0)),0)=1),ROUND($G18/(1+Parámetros!$B$13),0),$G18))</f>
        <v/>
      </c>
      <c r="J18" s="25">
        <f>IF($G18="","",IF(IFERROR(INDEX(Parámetros!$B$54:$B$60,MATCH($C18,Parámetros!$A$54:$A$60,0)),0)=1,ROUND($I18*Parámetros!$B$13,0),0))</f>
        <v/>
      </c>
      <c r="K18" s="25">
        <f>IF($G18="","",IF(IFERROR(INDEX(Parámetros!$C$54:$C$60,MATCH($C18,Parámetros!$A$54:$A$60,0)),0)=1,$J18,0))</f>
        <v/>
      </c>
      <c r="L18" s="25">
        <f>IF($G18="","",IF(IFERROR(INDEX(Parámetros!$D$54:$D$60,MATCH($C18,Parámetros!$A$54:$A$60,0)),0)=1,ROUND($I18*Parámetros!$B$16,0),0))</f>
        <v/>
      </c>
      <c r="M18" s="25">
        <f>IF($G18="","",$I18+$J18)</f>
        <v/>
      </c>
      <c r="N18" s="25">
        <f>IF($G18="","",$M18-$L18)</f>
        <v/>
      </c>
      <c r="O18" s="38" t="n"/>
      <c r="P18" s="38" t="n"/>
      <c r="Q18" s="37" t="n"/>
      <c r="R18" s="38" t="n"/>
      <c r="S18" s="40">
        <f>IF($A18="","",YEAR($A18))</f>
        <v/>
      </c>
      <c r="T18" s="40">
        <f>IF($A18="","",MONTH($A18))</f>
        <v/>
      </c>
      <c r="U18" s="40">
        <f>IF($Q18="","",YEAR($Q18))</f>
        <v/>
      </c>
      <c r="V18" s="40">
        <f>IF($Q18="","",MONTH($Q18))</f>
        <v/>
      </c>
    </row>
    <row r="19">
      <c r="A19" s="37" t="n"/>
      <c r="B19" s="38" t="n"/>
      <c r="C19" s="38" t="n"/>
      <c r="D19" s="38" t="n"/>
      <c r="E19" s="38" t="n"/>
      <c r="F19" s="38" t="n"/>
      <c r="G19" s="39" t="n"/>
      <c r="H19" s="38" t="n"/>
      <c r="I19" s="25">
        <f>IF($G19="","",IF(AND($H19="Sí",IFERROR(INDEX(Parámetros!$B$54:$B$60,MATCH($C19,Parámetros!$A$54:$A$60,0)),0)=1),ROUND($G19/(1+Parámetros!$B$13),0),$G19))</f>
        <v/>
      </c>
      <c r="J19" s="25">
        <f>IF($G19="","",IF(IFERROR(INDEX(Parámetros!$B$54:$B$60,MATCH($C19,Parámetros!$A$54:$A$60,0)),0)=1,ROUND($I19*Parámetros!$B$13,0),0))</f>
        <v/>
      </c>
      <c r="K19" s="25">
        <f>IF($G19="","",IF(IFERROR(INDEX(Parámetros!$C$54:$C$60,MATCH($C19,Parámetros!$A$54:$A$60,0)),0)=1,$J19,0))</f>
        <v/>
      </c>
      <c r="L19" s="25">
        <f>IF($G19="","",IF(IFERROR(INDEX(Parámetros!$D$54:$D$60,MATCH($C19,Parámetros!$A$54:$A$60,0)),0)=1,ROUND($I19*Parámetros!$B$16,0),0))</f>
        <v/>
      </c>
      <c r="M19" s="25">
        <f>IF($G19="","",$I19+$J19)</f>
        <v/>
      </c>
      <c r="N19" s="25">
        <f>IF($G19="","",$M19-$L19)</f>
        <v/>
      </c>
      <c r="O19" s="38" t="n"/>
      <c r="P19" s="38" t="n"/>
      <c r="Q19" s="37" t="n"/>
      <c r="R19" s="38" t="n"/>
      <c r="S19" s="40">
        <f>IF($A19="","",YEAR($A19))</f>
        <v/>
      </c>
      <c r="T19" s="40">
        <f>IF($A19="","",MONTH($A19))</f>
        <v/>
      </c>
      <c r="U19" s="40">
        <f>IF($Q19="","",YEAR($Q19))</f>
        <v/>
      </c>
      <c r="V19" s="40">
        <f>IF($Q19="","",MONTH($Q19))</f>
        <v/>
      </c>
    </row>
    <row r="20">
      <c r="A20" s="37" t="n"/>
      <c r="B20" s="38" t="n"/>
      <c r="C20" s="38" t="n"/>
      <c r="D20" s="38" t="n"/>
      <c r="E20" s="38" t="n"/>
      <c r="F20" s="38" t="n"/>
      <c r="G20" s="39" t="n"/>
      <c r="H20" s="38" t="n"/>
      <c r="I20" s="25">
        <f>IF($G20="","",IF(AND($H20="Sí",IFERROR(INDEX(Parámetros!$B$54:$B$60,MATCH($C20,Parámetros!$A$54:$A$60,0)),0)=1),ROUND($G20/(1+Parámetros!$B$13),0),$G20))</f>
        <v/>
      </c>
      <c r="J20" s="25">
        <f>IF($G20="","",IF(IFERROR(INDEX(Parámetros!$B$54:$B$60,MATCH($C20,Parámetros!$A$54:$A$60,0)),0)=1,ROUND($I20*Parámetros!$B$13,0),0))</f>
        <v/>
      </c>
      <c r="K20" s="25">
        <f>IF($G20="","",IF(IFERROR(INDEX(Parámetros!$C$54:$C$60,MATCH($C20,Parámetros!$A$54:$A$60,0)),0)=1,$J20,0))</f>
        <v/>
      </c>
      <c r="L20" s="25">
        <f>IF($G20="","",IF(IFERROR(INDEX(Parámetros!$D$54:$D$60,MATCH($C20,Parámetros!$A$54:$A$60,0)),0)=1,ROUND($I20*Parámetros!$B$16,0),0))</f>
        <v/>
      </c>
      <c r="M20" s="25">
        <f>IF($G20="","",$I20+$J20)</f>
        <v/>
      </c>
      <c r="N20" s="25">
        <f>IF($G20="","",$M20-$L20)</f>
        <v/>
      </c>
      <c r="O20" s="38" t="n"/>
      <c r="P20" s="38" t="n"/>
      <c r="Q20" s="37" t="n"/>
      <c r="R20" s="38" t="n"/>
      <c r="S20" s="40">
        <f>IF($A20="","",YEAR($A20))</f>
        <v/>
      </c>
      <c r="T20" s="40">
        <f>IF($A20="","",MONTH($A20))</f>
        <v/>
      </c>
      <c r="U20" s="40">
        <f>IF($Q20="","",YEAR($Q20))</f>
        <v/>
      </c>
      <c r="V20" s="40">
        <f>IF($Q20="","",MONTH($Q20))</f>
        <v/>
      </c>
    </row>
    <row r="21">
      <c r="A21" s="37" t="n"/>
      <c r="B21" s="38" t="n"/>
      <c r="C21" s="38" t="n"/>
      <c r="D21" s="38" t="n"/>
      <c r="E21" s="38" t="n"/>
      <c r="F21" s="38" t="n"/>
      <c r="G21" s="39" t="n"/>
      <c r="H21" s="38" t="n"/>
      <c r="I21" s="25">
        <f>IF($G21="","",IF(AND($H21="Sí",IFERROR(INDEX(Parámetros!$B$54:$B$60,MATCH($C21,Parámetros!$A$54:$A$60,0)),0)=1),ROUND($G21/(1+Parámetros!$B$13),0),$G21))</f>
        <v/>
      </c>
      <c r="J21" s="25">
        <f>IF($G21="","",IF(IFERROR(INDEX(Parámetros!$B$54:$B$60,MATCH($C21,Parámetros!$A$54:$A$60,0)),0)=1,ROUND($I21*Parámetros!$B$13,0),0))</f>
        <v/>
      </c>
      <c r="K21" s="25">
        <f>IF($G21="","",IF(IFERROR(INDEX(Parámetros!$C$54:$C$60,MATCH($C21,Parámetros!$A$54:$A$60,0)),0)=1,$J21,0))</f>
        <v/>
      </c>
      <c r="L21" s="25">
        <f>IF($G21="","",IF(IFERROR(INDEX(Parámetros!$D$54:$D$60,MATCH($C21,Parámetros!$A$54:$A$60,0)),0)=1,ROUND($I21*Parámetros!$B$16,0),0))</f>
        <v/>
      </c>
      <c r="M21" s="25">
        <f>IF($G21="","",$I21+$J21)</f>
        <v/>
      </c>
      <c r="N21" s="25">
        <f>IF($G21="","",$M21-$L21)</f>
        <v/>
      </c>
      <c r="O21" s="38" t="n"/>
      <c r="P21" s="38" t="n"/>
      <c r="Q21" s="37" t="n"/>
      <c r="R21" s="38" t="n"/>
      <c r="S21" s="40">
        <f>IF($A21="","",YEAR($A21))</f>
        <v/>
      </c>
      <c r="T21" s="40">
        <f>IF($A21="","",MONTH($A21))</f>
        <v/>
      </c>
      <c r="U21" s="40">
        <f>IF($Q21="","",YEAR($Q21))</f>
        <v/>
      </c>
      <c r="V21" s="40">
        <f>IF($Q21="","",MONTH($Q21))</f>
        <v/>
      </c>
    </row>
    <row r="22">
      <c r="A22" s="37" t="n"/>
      <c r="B22" s="38" t="n"/>
      <c r="C22" s="38" t="n"/>
      <c r="D22" s="38" t="n"/>
      <c r="E22" s="38" t="n"/>
      <c r="F22" s="38" t="n"/>
      <c r="G22" s="39" t="n"/>
      <c r="H22" s="38" t="n"/>
      <c r="I22" s="25">
        <f>IF($G22="","",IF(AND($H22="Sí",IFERROR(INDEX(Parámetros!$B$54:$B$60,MATCH($C22,Parámetros!$A$54:$A$60,0)),0)=1),ROUND($G22/(1+Parámetros!$B$13),0),$G22))</f>
        <v/>
      </c>
      <c r="J22" s="25">
        <f>IF($G22="","",IF(IFERROR(INDEX(Parámetros!$B$54:$B$60,MATCH($C22,Parámetros!$A$54:$A$60,0)),0)=1,ROUND($I22*Parámetros!$B$13,0),0))</f>
        <v/>
      </c>
      <c r="K22" s="25">
        <f>IF($G22="","",IF(IFERROR(INDEX(Parámetros!$C$54:$C$60,MATCH($C22,Parámetros!$A$54:$A$60,0)),0)=1,$J22,0))</f>
        <v/>
      </c>
      <c r="L22" s="25">
        <f>IF($G22="","",IF(IFERROR(INDEX(Parámetros!$D$54:$D$60,MATCH($C22,Parámetros!$A$54:$A$60,0)),0)=1,ROUND($I22*Parámetros!$B$16,0),0))</f>
        <v/>
      </c>
      <c r="M22" s="25">
        <f>IF($G22="","",$I22+$J22)</f>
        <v/>
      </c>
      <c r="N22" s="25">
        <f>IF($G22="","",$M22-$L22)</f>
        <v/>
      </c>
      <c r="O22" s="38" t="n"/>
      <c r="P22" s="38" t="n"/>
      <c r="Q22" s="37" t="n"/>
      <c r="R22" s="38" t="n"/>
      <c r="S22" s="40">
        <f>IF($A22="","",YEAR($A22))</f>
        <v/>
      </c>
      <c r="T22" s="40">
        <f>IF($A22="","",MONTH($A22))</f>
        <v/>
      </c>
      <c r="U22" s="40">
        <f>IF($Q22="","",YEAR($Q22))</f>
        <v/>
      </c>
      <c r="V22" s="40">
        <f>IF($Q22="","",MONTH($Q22))</f>
        <v/>
      </c>
    </row>
    <row r="23">
      <c r="A23" s="37" t="n"/>
      <c r="B23" s="38" t="n"/>
      <c r="C23" s="38" t="n"/>
      <c r="D23" s="38" t="n"/>
      <c r="E23" s="38" t="n"/>
      <c r="F23" s="38" t="n"/>
      <c r="G23" s="39" t="n"/>
      <c r="H23" s="38" t="n"/>
      <c r="I23" s="25">
        <f>IF($G23="","",IF(AND($H23="Sí",IFERROR(INDEX(Parámetros!$B$54:$B$60,MATCH($C23,Parámetros!$A$54:$A$60,0)),0)=1),ROUND($G23/(1+Parámetros!$B$13),0),$G23))</f>
        <v/>
      </c>
      <c r="J23" s="25">
        <f>IF($G23="","",IF(IFERROR(INDEX(Parámetros!$B$54:$B$60,MATCH($C23,Parámetros!$A$54:$A$60,0)),0)=1,ROUND($I23*Parámetros!$B$13,0),0))</f>
        <v/>
      </c>
      <c r="K23" s="25">
        <f>IF($G23="","",IF(IFERROR(INDEX(Parámetros!$C$54:$C$60,MATCH($C23,Parámetros!$A$54:$A$60,0)),0)=1,$J23,0))</f>
        <v/>
      </c>
      <c r="L23" s="25">
        <f>IF($G23="","",IF(IFERROR(INDEX(Parámetros!$D$54:$D$60,MATCH($C23,Parámetros!$A$54:$A$60,0)),0)=1,ROUND($I23*Parámetros!$B$16,0),0))</f>
        <v/>
      </c>
      <c r="M23" s="25">
        <f>IF($G23="","",$I23+$J23)</f>
        <v/>
      </c>
      <c r="N23" s="25">
        <f>IF($G23="","",$M23-$L23)</f>
        <v/>
      </c>
      <c r="O23" s="38" t="n"/>
      <c r="P23" s="38" t="n"/>
      <c r="Q23" s="37" t="n"/>
      <c r="R23" s="38" t="n"/>
      <c r="S23" s="40">
        <f>IF($A23="","",YEAR($A23))</f>
        <v/>
      </c>
      <c r="T23" s="40">
        <f>IF($A23="","",MONTH($A23))</f>
        <v/>
      </c>
      <c r="U23" s="40">
        <f>IF($Q23="","",YEAR($Q23))</f>
        <v/>
      </c>
      <c r="V23" s="40">
        <f>IF($Q23="","",MONTH($Q23))</f>
        <v/>
      </c>
    </row>
    <row r="24">
      <c r="A24" s="37" t="n"/>
      <c r="B24" s="38" t="n"/>
      <c r="C24" s="38" t="n"/>
      <c r="D24" s="38" t="n"/>
      <c r="E24" s="38" t="n"/>
      <c r="F24" s="38" t="n"/>
      <c r="G24" s="39" t="n"/>
      <c r="H24" s="38" t="n"/>
      <c r="I24" s="25">
        <f>IF($G24="","",IF(AND($H24="Sí",IFERROR(INDEX(Parámetros!$B$54:$B$60,MATCH($C24,Parámetros!$A$54:$A$60,0)),0)=1),ROUND($G24/(1+Parámetros!$B$13),0),$G24))</f>
        <v/>
      </c>
      <c r="J24" s="25">
        <f>IF($G24="","",IF(IFERROR(INDEX(Parámetros!$B$54:$B$60,MATCH($C24,Parámetros!$A$54:$A$60,0)),0)=1,ROUND($I24*Parámetros!$B$13,0),0))</f>
        <v/>
      </c>
      <c r="K24" s="25">
        <f>IF($G24="","",IF(IFERROR(INDEX(Parámetros!$C$54:$C$60,MATCH($C24,Parámetros!$A$54:$A$60,0)),0)=1,$J24,0))</f>
        <v/>
      </c>
      <c r="L24" s="25">
        <f>IF($G24="","",IF(IFERROR(INDEX(Parámetros!$D$54:$D$60,MATCH($C24,Parámetros!$A$54:$A$60,0)),0)=1,ROUND($I24*Parámetros!$B$16,0),0))</f>
        <v/>
      </c>
      <c r="M24" s="25">
        <f>IF($G24="","",$I24+$J24)</f>
        <v/>
      </c>
      <c r="N24" s="25">
        <f>IF($G24="","",$M24-$L24)</f>
        <v/>
      </c>
      <c r="O24" s="38" t="n"/>
      <c r="P24" s="38" t="n"/>
      <c r="Q24" s="37" t="n"/>
      <c r="R24" s="38" t="n"/>
      <c r="S24" s="40">
        <f>IF($A24="","",YEAR($A24))</f>
        <v/>
      </c>
      <c r="T24" s="40">
        <f>IF($A24="","",MONTH($A24))</f>
        <v/>
      </c>
      <c r="U24" s="40">
        <f>IF($Q24="","",YEAR($Q24))</f>
        <v/>
      </c>
      <c r="V24" s="40">
        <f>IF($Q24="","",MONTH($Q24))</f>
        <v/>
      </c>
    </row>
    <row r="25">
      <c r="A25" s="37" t="n"/>
      <c r="B25" s="38" t="n"/>
      <c r="C25" s="38" t="n"/>
      <c r="D25" s="38" t="n"/>
      <c r="E25" s="38" t="n"/>
      <c r="F25" s="38" t="n"/>
      <c r="G25" s="39" t="n"/>
      <c r="H25" s="38" t="n"/>
      <c r="I25" s="25">
        <f>IF($G25="","",IF(AND($H25="Sí",IFERROR(INDEX(Parámetros!$B$54:$B$60,MATCH($C25,Parámetros!$A$54:$A$60,0)),0)=1),ROUND($G25/(1+Parámetros!$B$13),0),$G25))</f>
        <v/>
      </c>
      <c r="J25" s="25">
        <f>IF($G25="","",IF(IFERROR(INDEX(Parámetros!$B$54:$B$60,MATCH($C25,Parámetros!$A$54:$A$60,0)),0)=1,ROUND($I25*Parámetros!$B$13,0),0))</f>
        <v/>
      </c>
      <c r="K25" s="25">
        <f>IF($G25="","",IF(IFERROR(INDEX(Parámetros!$C$54:$C$60,MATCH($C25,Parámetros!$A$54:$A$60,0)),0)=1,$J25,0))</f>
        <v/>
      </c>
      <c r="L25" s="25">
        <f>IF($G25="","",IF(IFERROR(INDEX(Parámetros!$D$54:$D$60,MATCH($C25,Parámetros!$A$54:$A$60,0)),0)=1,ROUND($I25*Parámetros!$B$16,0),0))</f>
        <v/>
      </c>
      <c r="M25" s="25">
        <f>IF($G25="","",$I25+$J25)</f>
        <v/>
      </c>
      <c r="N25" s="25">
        <f>IF($G25="","",$M25-$L25)</f>
        <v/>
      </c>
      <c r="O25" s="38" t="n"/>
      <c r="P25" s="38" t="n"/>
      <c r="Q25" s="37" t="n"/>
      <c r="R25" s="38" t="n"/>
      <c r="S25" s="40">
        <f>IF($A25="","",YEAR($A25))</f>
        <v/>
      </c>
      <c r="T25" s="40">
        <f>IF($A25="","",MONTH($A25))</f>
        <v/>
      </c>
      <c r="U25" s="40">
        <f>IF($Q25="","",YEAR($Q25))</f>
        <v/>
      </c>
      <c r="V25" s="40">
        <f>IF($Q25="","",MONTH($Q25))</f>
        <v/>
      </c>
    </row>
    <row r="26">
      <c r="A26" s="37" t="n"/>
      <c r="B26" s="38" t="n"/>
      <c r="C26" s="38" t="n"/>
      <c r="D26" s="38" t="n"/>
      <c r="E26" s="38" t="n"/>
      <c r="F26" s="38" t="n"/>
      <c r="G26" s="39" t="n"/>
      <c r="H26" s="38" t="n"/>
      <c r="I26" s="25">
        <f>IF($G26="","",IF(AND($H26="Sí",IFERROR(INDEX(Parámetros!$B$54:$B$60,MATCH($C26,Parámetros!$A$54:$A$60,0)),0)=1),ROUND($G26/(1+Parámetros!$B$13),0),$G26))</f>
        <v/>
      </c>
      <c r="J26" s="25">
        <f>IF($G26="","",IF(IFERROR(INDEX(Parámetros!$B$54:$B$60,MATCH($C26,Parámetros!$A$54:$A$60,0)),0)=1,ROUND($I26*Parámetros!$B$13,0),0))</f>
        <v/>
      </c>
      <c r="K26" s="25">
        <f>IF($G26="","",IF(IFERROR(INDEX(Parámetros!$C$54:$C$60,MATCH($C26,Parámetros!$A$54:$A$60,0)),0)=1,$J26,0))</f>
        <v/>
      </c>
      <c r="L26" s="25">
        <f>IF($G26="","",IF(IFERROR(INDEX(Parámetros!$D$54:$D$60,MATCH($C26,Parámetros!$A$54:$A$60,0)),0)=1,ROUND($I26*Parámetros!$B$16,0),0))</f>
        <v/>
      </c>
      <c r="M26" s="25">
        <f>IF($G26="","",$I26+$J26)</f>
        <v/>
      </c>
      <c r="N26" s="25">
        <f>IF($G26="","",$M26-$L26)</f>
        <v/>
      </c>
      <c r="O26" s="38" t="n"/>
      <c r="P26" s="38" t="n"/>
      <c r="Q26" s="37" t="n"/>
      <c r="R26" s="38" t="n"/>
      <c r="S26" s="40">
        <f>IF($A26="","",YEAR($A26))</f>
        <v/>
      </c>
      <c r="T26" s="40">
        <f>IF($A26="","",MONTH($A26))</f>
        <v/>
      </c>
      <c r="U26" s="40">
        <f>IF($Q26="","",YEAR($Q26))</f>
        <v/>
      </c>
      <c r="V26" s="40">
        <f>IF($Q26="","",MONTH($Q26))</f>
        <v/>
      </c>
    </row>
    <row r="27">
      <c r="A27" s="37" t="n"/>
      <c r="B27" s="38" t="n"/>
      <c r="C27" s="38" t="n"/>
      <c r="D27" s="38" t="n"/>
      <c r="E27" s="38" t="n"/>
      <c r="F27" s="38" t="n"/>
      <c r="G27" s="39" t="n"/>
      <c r="H27" s="38" t="n"/>
      <c r="I27" s="25">
        <f>IF($G27="","",IF(AND($H27="Sí",IFERROR(INDEX(Parámetros!$B$54:$B$60,MATCH($C27,Parámetros!$A$54:$A$60,0)),0)=1),ROUND($G27/(1+Parámetros!$B$13),0),$G27))</f>
        <v/>
      </c>
      <c r="J27" s="25">
        <f>IF($G27="","",IF(IFERROR(INDEX(Parámetros!$B$54:$B$60,MATCH($C27,Parámetros!$A$54:$A$60,0)),0)=1,ROUND($I27*Parámetros!$B$13,0),0))</f>
        <v/>
      </c>
      <c r="K27" s="25">
        <f>IF($G27="","",IF(IFERROR(INDEX(Parámetros!$C$54:$C$60,MATCH($C27,Parámetros!$A$54:$A$60,0)),0)=1,$J27,0))</f>
        <v/>
      </c>
      <c r="L27" s="25">
        <f>IF($G27="","",IF(IFERROR(INDEX(Parámetros!$D$54:$D$60,MATCH($C27,Parámetros!$A$54:$A$60,0)),0)=1,ROUND($I27*Parámetros!$B$16,0),0))</f>
        <v/>
      </c>
      <c r="M27" s="25">
        <f>IF($G27="","",$I27+$J27)</f>
        <v/>
      </c>
      <c r="N27" s="25">
        <f>IF($G27="","",$M27-$L27)</f>
        <v/>
      </c>
      <c r="O27" s="38" t="n"/>
      <c r="P27" s="38" t="n"/>
      <c r="Q27" s="37" t="n"/>
      <c r="R27" s="38" t="n"/>
      <c r="S27" s="40">
        <f>IF($A27="","",YEAR($A27))</f>
        <v/>
      </c>
      <c r="T27" s="40">
        <f>IF($A27="","",MONTH($A27))</f>
        <v/>
      </c>
      <c r="U27" s="40">
        <f>IF($Q27="","",YEAR($Q27))</f>
        <v/>
      </c>
      <c r="V27" s="40">
        <f>IF($Q27="","",MONTH($Q27))</f>
        <v/>
      </c>
    </row>
    <row r="28">
      <c r="A28" s="37" t="n"/>
      <c r="B28" s="38" t="n"/>
      <c r="C28" s="38" t="n"/>
      <c r="D28" s="38" t="n"/>
      <c r="E28" s="38" t="n"/>
      <c r="F28" s="38" t="n"/>
      <c r="G28" s="39" t="n"/>
      <c r="H28" s="38" t="n"/>
      <c r="I28" s="25">
        <f>IF($G28="","",IF(AND($H28="Sí",IFERROR(INDEX(Parámetros!$B$54:$B$60,MATCH($C28,Parámetros!$A$54:$A$60,0)),0)=1),ROUND($G28/(1+Parámetros!$B$13),0),$G28))</f>
        <v/>
      </c>
      <c r="J28" s="25">
        <f>IF($G28="","",IF(IFERROR(INDEX(Parámetros!$B$54:$B$60,MATCH($C28,Parámetros!$A$54:$A$60,0)),0)=1,ROUND($I28*Parámetros!$B$13,0),0))</f>
        <v/>
      </c>
      <c r="K28" s="25">
        <f>IF($G28="","",IF(IFERROR(INDEX(Parámetros!$C$54:$C$60,MATCH($C28,Parámetros!$A$54:$A$60,0)),0)=1,$J28,0))</f>
        <v/>
      </c>
      <c r="L28" s="25">
        <f>IF($G28="","",IF(IFERROR(INDEX(Parámetros!$D$54:$D$60,MATCH($C28,Parámetros!$A$54:$A$60,0)),0)=1,ROUND($I28*Parámetros!$B$16,0),0))</f>
        <v/>
      </c>
      <c r="M28" s="25">
        <f>IF($G28="","",$I28+$J28)</f>
        <v/>
      </c>
      <c r="N28" s="25">
        <f>IF($G28="","",$M28-$L28)</f>
        <v/>
      </c>
      <c r="O28" s="38" t="n"/>
      <c r="P28" s="38" t="n"/>
      <c r="Q28" s="37" t="n"/>
      <c r="R28" s="38" t="n"/>
      <c r="S28" s="40">
        <f>IF($A28="","",YEAR($A28))</f>
        <v/>
      </c>
      <c r="T28" s="40">
        <f>IF($A28="","",MONTH($A28))</f>
        <v/>
      </c>
      <c r="U28" s="40">
        <f>IF($Q28="","",YEAR($Q28))</f>
        <v/>
      </c>
      <c r="V28" s="40">
        <f>IF($Q28="","",MONTH($Q28))</f>
        <v/>
      </c>
    </row>
    <row r="29">
      <c r="A29" s="37" t="n"/>
      <c r="B29" s="38" t="n"/>
      <c r="C29" s="38" t="n"/>
      <c r="D29" s="38" t="n"/>
      <c r="E29" s="38" t="n"/>
      <c r="F29" s="38" t="n"/>
      <c r="G29" s="39" t="n"/>
      <c r="H29" s="38" t="n"/>
      <c r="I29" s="25">
        <f>IF($G29="","",IF(AND($H29="Sí",IFERROR(INDEX(Parámetros!$B$54:$B$60,MATCH($C29,Parámetros!$A$54:$A$60,0)),0)=1),ROUND($G29/(1+Parámetros!$B$13),0),$G29))</f>
        <v/>
      </c>
      <c r="J29" s="25">
        <f>IF($G29="","",IF(IFERROR(INDEX(Parámetros!$B$54:$B$60,MATCH($C29,Parámetros!$A$54:$A$60,0)),0)=1,ROUND($I29*Parámetros!$B$13,0),0))</f>
        <v/>
      </c>
      <c r="K29" s="25">
        <f>IF($G29="","",IF(IFERROR(INDEX(Parámetros!$C$54:$C$60,MATCH($C29,Parámetros!$A$54:$A$60,0)),0)=1,$J29,0))</f>
        <v/>
      </c>
      <c r="L29" s="25">
        <f>IF($G29="","",IF(IFERROR(INDEX(Parámetros!$D$54:$D$60,MATCH($C29,Parámetros!$A$54:$A$60,0)),0)=1,ROUND($I29*Parámetros!$B$16,0),0))</f>
        <v/>
      </c>
      <c r="M29" s="25">
        <f>IF($G29="","",$I29+$J29)</f>
        <v/>
      </c>
      <c r="N29" s="25">
        <f>IF($G29="","",$M29-$L29)</f>
        <v/>
      </c>
      <c r="O29" s="38" t="n"/>
      <c r="P29" s="38" t="n"/>
      <c r="Q29" s="37" t="n"/>
      <c r="R29" s="38" t="n"/>
      <c r="S29" s="40">
        <f>IF($A29="","",YEAR($A29))</f>
        <v/>
      </c>
      <c r="T29" s="40">
        <f>IF($A29="","",MONTH($A29))</f>
        <v/>
      </c>
      <c r="U29" s="40">
        <f>IF($Q29="","",YEAR($Q29))</f>
        <v/>
      </c>
      <c r="V29" s="40">
        <f>IF($Q29="","",MONTH($Q29))</f>
        <v/>
      </c>
    </row>
    <row r="30">
      <c r="A30" s="37" t="n"/>
      <c r="B30" s="38" t="n"/>
      <c r="C30" s="38" t="n"/>
      <c r="D30" s="38" t="n"/>
      <c r="E30" s="38" t="n"/>
      <c r="F30" s="38" t="n"/>
      <c r="G30" s="39" t="n"/>
      <c r="H30" s="38" t="n"/>
      <c r="I30" s="25">
        <f>IF($G30="","",IF(AND($H30="Sí",IFERROR(INDEX(Parámetros!$B$54:$B$60,MATCH($C30,Parámetros!$A$54:$A$60,0)),0)=1),ROUND($G30/(1+Parámetros!$B$13),0),$G30))</f>
        <v/>
      </c>
      <c r="J30" s="25">
        <f>IF($G30="","",IF(IFERROR(INDEX(Parámetros!$B$54:$B$60,MATCH($C30,Parámetros!$A$54:$A$60,0)),0)=1,ROUND($I30*Parámetros!$B$13,0),0))</f>
        <v/>
      </c>
      <c r="K30" s="25">
        <f>IF($G30="","",IF(IFERROR(INDEX(Parámetros!$C$54:$C$60,MATCH($C30,Parámetros!$A$54:$A$60,0)),0)=1,$J30,0))</f>
        <v/>
      </c>
      <c r="L30" s="25">
        <f>IF($G30="","",IF(IFERROR(INDEX(Parámetros!$D$54:$D$60,MATCH($C30,Parámetros!$A$54:$A$60,0)),0)=1,ROUND($I30*Parámetros!$B$16,0),0))</f>
        <v/>
      </c>
      <c r="M30" s="25">
        <f>IF($G30="","",$I30+$J30)</f>
        <v/>
      </c>
      <c r="N30" s="25">
        <f>IF($G30="","",$M30-$L30)</f>
        <v/>
      </c>
      <c r="O30" s="38" t="n"/>
      <c r="P30" s="38" t="n"/>
      <c r="Q30" s="37" t="n"/>
      <c r="R30" s="38" t="n"/>
      <c r="S30" s="40">
        <f>IF($A30="","",YEAR($A30))</f>
        <v/>
      </c>
      <c r="T30" s="40">
        <f>IF($A30="","",MONTH($A30))</f>
        <v/>
      </c>
      <c r="U30" s="40">
        <f>IF($Q30="","",YEAR($Q30))</f>
        <v/>
      </c>
      <c r="V30" s="40">
        <f>IF($Q30="","",MONTH($Q30))</f>
        <v/>
      </c>
    </row>
    <row r="31">
      <c r="A31" s="37" t="n"/>
      <c r="B31" s="38" t="n"/>
      <c r="C31" s="38" t="n"/>
      <c r="D31" s="38" t="n"/>
      <c r="E31" s="38" t="n"/>
      <c r="F31" s="38" t="n"/>
      <c r="G31" s="39" t="n"/>
      <c r="H31" s="38" t="n"/>
      <c r="I31" s="25">
        <f>IF($G31="","",IF(AND($H31="Sí",IFERROR(INDEX(Parámetros!$B$54:$B$60,MATCH($C31,Parámetros!$A$54:$A$60,0)),0)=1),ROUND($G31/(1+Parámetros!$B$13),0),$G31))</f>
        <v/>
      </c>
      <c r="J31" s="25">
        <f>IF($G31="","",IF(IFERROR(INDEX(Parámetros!$B$54:$B$60,MATCH($C31,Parámetros!$A$54:$A$60,0)),0)=1,ROUND($I31*Parámetros!$B$13,0),0))</f>
        <v/>
      </c>
      <c r="K31" s="25">
        <f>IF($G31="","",IF(IFERROR(INDEX(Parámetros!$C$54:$C$60,MATCH($C31,Parámetros!$A$54:$A$60,0)),0)=1,$J31,0))</f>
        <v/>
      </c>
      <c r="L31" s="25">
        <f>IF($G31="","",IF(IFERROR(INDEX(Parámetros!$D$54:$D$60,MATCH($C31,Parámetros!$A$54:$A$60,0)),0)=1,ROUND($I31*Parámetros!$B$16,0),0))</f>
        <v/>
      </c>
      <c r="M31" s="25">
        <f>IF($G31="","",$I31+$J31)</f>
        <v/>
      </c>
      <c r="N31" s="25">
        <f>IF($G31="","",$M31-$L31)</f>
        <v/>
      </c>
      <c r="O31" s="38" t="n"/>
      <c r="P31" s="38" t="n"/>
      <c r="Q31" s="37" t="n"/>
      <c r="R31" s="38" t="n"/>
      <c r="S31" s="40">
        <f>IF($A31="","",YEAR($A31))</f>
        <v/>
      </c>
      <c r="T31" s="40">
        <f>IF($A31="","",MONTH($A31))</f>
        <v/>
      </c>
      <c r="U31" s="40">
        <f>IF($Q31="","",YEAR($Q31))</f>
        <v/>
      </c>
      <c r="V31" s="40">
        <f>IF($Q31="","",MONTH($Q31))</f>
        <v/>
      </c>
    </row>
    <row r="32">
      <c r="A32" s="37" t="n"/>
      <c r="B32" s="38" t="n"/>
      <c r="C32" s="38" t="n"/>
      <c r="D32" s="38" t="n"/>
      <c r="E32" s="38" t="n"/>
      <c r="F32" s="38" t="n"/>
      <c r="G32" s="39" t="n"/>
      <c r="H32" s="38" t="n"/>
      <c r="I32" s="25">
        <f>IF($G32="","",IF(AND($H32="Sí",IFERROR(INDEX(Parámetros!$B$54:$B$60,MATCH($C32,Parámetros!$A$54:$A$60,0)),0)=1),ROUND($G32/(1+Parámetros!$B$13),0),$G32))</f>
        <v/>
      </c>
      <c r="J32" s="25">
        <f>IF($G32="","",IF(IFERROR(INDEX(Parámetros!$B$54:$B$60,MATCH($C32,Parámetros!$A$54:$A$60,0)),0)=1,ROUND($I32*Parámetros!$B$13,0),0))</f>
        <v/>
      </c>
      <c r="K32" s="25">
        <f>IF($G32="","",IF(IFERROR(INDEX(Parámetros!$C$54:$C$60,MATCH($C32,Parámetros!$A$54:$A$60,0)),0)=1,$J32,0))</f>
        <v/>
      </c>
      <c r="L32" s="25">
        <f>IF($G32="","",IF(IFERROR(INDEX(Parámetros!$D$54:$D$60,MATCH($C32,Parámetros!$A$54:$A$60,0)),0)=1,ROUND($I32*Parámetros!$B$16,0),0))</f>
        <v/>
      </c>
      <c r="M32" s="25">
        <f>IF($G32="","",$I32+$J32)</f>
        <v/>
      </c>
      <c r="N32" s="25">
        <f>IF($G32="","",$M32-$L32)</f>
        <v/>
      </c>
      <c r="O32" s="38" t="n"/>
      <c r="P32" s="38" t="n"/>
      <c r="Q32" s="37" t="n"/>
      <c r="R32" s="38" t="n"/>
      <c r="S32" s="40">
        <f>IF($A32="","",YEAR($A32))</f>
        <v/>
      </c>
      <c r="T32" s="40">
        <f>IF($A32="","",MONTH($A32))</f>
        <v/>
      </c>
      <c r="U32" s="40">
        <f>IF($Q32="","",YEAR($Q32))</f>
        <v/>
      </c>
      <c r="V32" s="40">
        <f>IF($Q32="","",MONTH($Q32))</f>
        <v/>
      </c>
    </row>
    <row r="33">
      <c r="A33" s="37" t="n"/>
      <c r="B33" s="38" t="n"/>
      <c r="C33" s="38" t="n"/>
      <c r="D33" s="38" t="n"/>
      <c r="E33" s="38" t="n"/>
      <c r="F33" s="38" t="n"/>
      <c r="G33" s="39" t="n"/>
      <c r="H33" s="38" t="n"/>
      <c r="I33" s="25">
        <f>IF($G33="","",IF(AND($H33="Sí",IFERROR(INDEX(Parámetros!$B$54:$B$60,MATCH($C33,Parámetros!$A$54:$A$60,0)),0)=1),ROUND($G33/(1+Parámetros!$B$13),0),$G33))</f>
        <v/>
      </c>
      <c r="J33" s="25">
        <f>IF($G33="","",IF(IFERROR(INDEX(Parámetros!$B$54:$B$60,MATCH($C33,Parámetros!$A$54:$A$60,0)),0)=1,ROUND($I33*Parámetros!$B$13,0),0))</f>
        <v/>
      </c>
      <c r="K33" s="25">
        <f>IF($G33="","",IF(IFERROR(INDEX(Parámetros!$C$54:$C$60,MATCH($C33,Parámetros!$A$54:$A$60,0)),0)=1,$J33,0))</f>
        <v/>
      </c>
      <c r="L33" s="25">
        <f>IF($G33="","",IF(IFERROR(INDEX(Parámetros!$D$54:$D$60,MATCH($C33,Parámetros!$A$54:$A$60,0)),0)=1,ROUND($I33*Parámetros!$B$16,0),0))</f>
        <v/>
      </c>
      <c r="M33" s="25">
        <f>IF($G33="","",$I33+$J33)</f>
        <v/>
      </c>
      <c r="N33" s="25">
        <f>IF($G33="","",$M33-$L33)</f>
        <v/>
      </c>
      <c r="O33" s="38" t="n"/>
      <c r="P33" s="38" t="n"/>
      <c r="Q33" s="37" t="n"/>
      <c r="R33" s="38" t="n"/>
      <c r="S33" s="40">
        <f>IF($A33="","",YEAR($A33))</f>
        <v/>
      </c>
      <c r="T33" s="40">
        <f>IF($A33="","",MONTH($A33))</f>
        <v/>
      </c>
      <c r="U33" s="40">
        <f>IF($Q33="","",YEAR($Q33))</f>
        <v/>
      </c>
      <c r="V33" s="40">
        <f>IF($Q33="","",MONTH($Q33))</f>
        <v/>
      </c>
    </row>
    <row r="34">
      <c r="A34" s="37" t="n"/>
      <c r="B34" s="38" t="n"/>
      <c r="C34" s="38" t="n"/>
      <c r="D34" s="38" t="n"/>
      <c r="E34" s="38" t="n"/>
      <c r="F34" s="38" t="n"/>
      <c r="G34" s="39" t="n"/>
      <c r="H34" s="38" t="n"/>
      <c r="I34" s="25">
        <f>IF($G34="","",IF(AND($H34="Sí",IFERROR(INDEX(Parámetros!$B$54:$B$60,MATCH($C34,Parámetros!$A$54:$A$60,0)),0)=1),ROUND($G34/(1+Parámetros!$B$13),0),$G34))</f>
        <v/>
      </c>
      <c r="J34" s="25">
        <f>IF($G34="","",IF(IFERROR(INDEX(Parámetros!$B$54:$B$60,MATCH($C34,Parámetros!$A$54:$A$60,0)),0)=1,ROUND($I34*Parámetros!$B$13,0),0))</f>
        <v/>
      </c>
      <c r="K34" s="25">
        <f>IF($G34="","",IF(IFERROR(INDEX(Parámetros!$C$54:$C$60,MATCH($C34,Parámetros!$A$54:$A$60,0)),0)=1,$J34,0))</f>
        <v/>
      </c>
      <c r="L34" s="25">
        <f>IF($G34="","",IF(IFERROR(INDEX(Parámetros!$D$54:$D$60,MATCH($C34,Parámetros!$A$54:$A$60,0)),0)=1,ROUND($I34*Parámetros!$B$16,0),0))</f>
        <v/>
      </c>
      <c r="M34" s="25">
        <f>IF($G34="","",$I34+$J34)</f>
        <v/>
      </c>
      <c r="N34" s="25">
        <f>IF($G34="","",$M34-$L34)</f>
        <v/>
      </c>
      <c r="O34" s="38" t="n"/>
      <c r="P34" s="38" t="n"/>
      <c r="Q34" s="37" t="n"/>
      <c r="R34" s="38" t="n"/>
      <c r="S34" s="40">
        <f>IF($A34="","",YEAR($A34))</f>
        <v/>
      </c>
      <c r="T34" s="40">
        <f>IF($A34="","",MONTH($A34))</f>
        <v/>
      </c>
      <c r="U34" s="40">
        <f>IF($Q34="","",YEAR($Q34))</f>
        <v/>
      </c>
      <c r="V34" s="40">
        <f>IF($Q34="","",MONTH($Q34))</f>
        <v/>
      </c>
    </row>
    <row r="35">
      <c r="A35" s="37" t="n"/>
      <c r="B35" s="38" t="n"/>
      <c r="C35" s="38" t="n"/>
      <c r="D35" s="38" t="n"/>
      <c r="E35" s="38" t="n"/>
      <c r="F35" s="38" t="n"/>
      <c r="G35" s="39" t="n"/>
      <c r="H35" s="38" t="n"/>
      <c r="I35" s="25">
        <f>IF($G35="","",IF(AND($H35="Sí",IFERROR(INDEX(Parámetros!$B$54:$B$60,MATCH($C35,Parámetros!$A$54:$A$60,0)),0)=1),ROUND($G35/(1+Parámetros!$B$13),0),$G35))</f>
        <v/>
      </c>
      <c r="J35" s="25">
        <f>IF($G35="","",IF(IFERROR(INDEX(Parámetros!$B$54:$B$60,MATCH($C35,Parámetros!$A$54:$A$60,0)),0)=1,ROUND($I35*Parámetros!$B$13,0),0))</f>
        <v/>
      </c>
      <c r="K35" s="25">
        <f>IF($G35="","",IF(IFERROR(INDEX(Parámetros!$C$54:$C$60,MATCH($C35,Parámetros!$A$54:$A$60,0)),0)=1,$J35,0))</f>
        <v/>
      </c>
      <c r="L35" s="25">
        <f>IF($G35="","",IF(IFERROR(INDEX(Parámetros!$D$54:$D$60,MATCH($C35,Parámetros!$A$54:$A$60,0)),0)=1,ROUND($I35*Parámetros!$B$16,0),0))</f>
        <v/>
      </c>
      <c r="M35" s="25">
        <f>IF($G35="","",$I35+$J35)</f>
        <v/>
      </c>
      <c r="N35" s="25">
        <f>IF($G35="","",$M35-$L35)</f>
        <v/>
      </c>
      <c r="O35" s="38" t="n"/>
      <c r="P35" s="38" t="n"/>
      <c r="Q35" s="37" t="n"/>
      <c r="R35" s="38" t="n"/>
      <c r="S35" s="40">
        <f>IF($A35="","",YEAR($A35))</f>
        <v/>
      </c>
      <c r="T35" s="40">
        <f>IF($A35="","",MONTH($A35))</f>
        <v/>
      </c>
      <c r="U35" s="40">
        <f>IF($Q35="","",YEAR($Q35))</f>
        <v/>
      </c>
      <c r="V35" s="40">
        <f>IF($Q35="","",MONTH($Q35))</f>
        <v/>
      </c>
    </row>
    <row r="36">
      <c r="A36" s="37" t="n"/>
      <c r="B36" s="38" t="n"/>
      <c r="C36" s="38" t="n"/>
      <c r="D36" s="38" t="n"/>
      <c r="E36" s="38" t="n"/>
      <c r="F36" s="38" t="n"/>
      <c r="G36" s="39" t="n"/>
      <c r="H36" s="38" t="n"/>
      <c r="I36" s="25">
        <f>IF($G36="","",IF(AND($H36="Sí",IFERROR(INDEX(Parámetros!$B$54:$B$60,MATCH($C36,Parámetros!$A$54:$A$60,0)),0)=1),ROUND($G36/(1+Parámetros!$B$13),0),$G36))</f>
        <v/>
      </c>
      <c r="J36" s="25">
        <f>IF($G36="","",IF(IFERROR(INDEX(Parámetros!$B$54:$B$60,MATCH($C36,Parámetros!$A$54:$A$60,0)),0)=1,ROUND($I36*Parámetros!$B$13,0),0))</f>
        <v/>
      </c>
      <c r="K36" s="25">
        <f>IF($G36="","",IF(IFERROR(INDEX(Parámetros!$C$54:$C$60,MATCH($C36,Parámetros!$A$54:$A$60,0)),0)=1,$J36,0))</f>
        <v/>
      </c>
      <c r="L36" s="25">
        <f>IF($G36="","",IF(IFERROR(INDEX(Parámetros!$D$54:$D$60,MATCH($C36,Parámetros!$A$54:$A$60,0)),0)=1,ROUND($I36*Parámetros!$B$16,0),0))</f>
        <v/>
      </c>
      <c r="M36" s="25">
        <f>IF($G36="","",$I36+$J36)</f>
        <v/>
      </c>
      <c r="N36" s="25">
        <f>IF($G36="","",$M36-$L36)</f>
        <v/>
      </c>
      <c r="O36" s="38" t="n"/>
      <c r="P36" s="38" t="n"/>
      <c r="Q36" s="37" t="n"/>
      <c r="R36" s="38" t="n"/>
      <c r="S36" s="40">
        <f>IF($A36="","",YEAR($A36))</f>
        <v/>
      </c>
      <c r="T36" s="40">
        <f>IF($A36="","",MONTH($A36))</f>
        <v/>
      </c>
      <c r="U36" s="40">
        <f>IF($Q36="","",YEAR($Q36))</f>
        <v/>
      </c>
      <c r="V36" s="40">
        <f>IF($Q36="","",MONTH($Q36))</f>
        <v/>
      </c>
    </row>
    <row r="37">
      <c r="A37" s="37" t="n"/>
      <c r="B37" s="38" t="n"/>
      <c r="C37" s="38" t="n"/>
      <c r="D37" s="38" t="n"/>
      <c r="E37" s="38" t="n"/>
      <c r="F37" s="38" t="n"/>
      <c r="G37" s="39" t="n"/>
      <c r="H37" s="38" t="n"/>
      <c r="I37" s="25">
        <f>IF($G37="","",IF(AND($H37="Sí",IFERROR(INDEX(Parámetros!$B$54:$B$60,MATCH($C37,Parámetros!$A$54:$A$60,0)),0)=1),ROUND($G37/(1+Parámetros!$B$13),0),$G37))</f>
        <v/>
      </c>
      <c r="J37" s="25">
        <f>IF($G37="","",IF(IFERROR(INDEX(Parámetros!$B$54:$B$60,MATCH($C37,Parámetros!$A$54:$A$60,0)),0)=1,ROUND($I37*Parámetros!$B$13,0),0))</f>
        <v/>
      </c>
      <c r="K37" s="25">
        <f>IF($G37="","",IF(IFERROR(INDEX(Parámetros!$C$54:$C$60,MATCH($C37,Parámetros!$A$54:$A$60,0)),0)=1,$J37,0))</f>
        <v/>
      </c>
      <c r="L37" s="25">
        <f>IF($G37="","",IF(IFERROR(INDEX(Parámetros!$D$54:$D$60,MATCH($C37,Parámetros!$A$54:$A$60,0)),0)=1,ROUND($I37*Parámetros!$B$16,0),0))</f>
        <v/>
      </c>
      <c r="M37" s="25">
        <f>IF($G37="","",$I37+$J37)</f>
        <v/>
      </c>
      <c r="N37" s="25">
        <f>IF($G37="","",$M37-$L37)</f>
        <v/>
      </c>
      <c r="O37" s="38" t="n"/>
      <c r="P37" s="38" t="n"/>
      <c r="Q37" s="37" t="n"/>
      <c r="R37" s="38" t="n"/>
      <c r="S37" s="40">
        <f>IF($A37="","",YEAR($A37))</f>
        <v/>
      </c>
      <c r="T37" s="40">
        <f>IF($A37="","",MONTH($A37))</f>
        <v/>
      </c>
      <c r="U37" s="40">
        <f>IF($Q37="","",YEAR($Q37))</f>
        <v/>
      </c>
      <c r="V37" s="40">
        <f>IF($Q37="","",MONTH($Q37))</f>
        <v/>
      </c>
    </row>
    <row r="38">
      <c r="A38" s="37" t="n"/>
      <c r="B38" s="38" t="n"/>
      <c r="C38" s="38" t="n"/>
      <c r="D38" s="38" t="n"/>
      <c r="E38" s="38" t="n"/>
      <c r="F38" s="38" t="n"/>
      <c r="G38" s="39" t="n"/>
      <c r="H38" s="38" t="n"/>
      <c r="I38" s="25">
        <f>IF($G38="","",IF(AND($H38="Sí",IFERROR(INDEX(Parámetros!$B$54:$B$60,MATCH($C38,Parámetros!$A$54:$A$60,0)),0)=1),ROUND($G38/(1+Parámetros!$B$13),0),$G38))</f>
        <v/>
      </c>
      <c r="J38" s="25">
        <f>IF($G38="","",IF(IFERROR(INDEX(Parámetros!$B$54:$B$60,MATCH($C38,Parámetros!$A$54:$A$60,0)),0)=1,ROUND($I38*Parámetros!$B$13,0),0))</f>
        <v/>
      </c>
      <c r="K38" s="25">
        <f>IF($G38="","",IF(IFERROR(INDEX(Parámetros!$C$54:$C$60,MATCH($C38,Parámetros!$A$54:$A$60,0)),0)=1,$J38,0))</f>
        <v/>
      </c>
      <c r="L38" s="25">
        <f>IF($G38="","",IF(IFERROR(INDEX(Parámetros!$D$54:$D$60,MATCH($C38,Parámetros!$A$54:$A$60,0)),0)=1,ROUND($I38*Parámetros!$B$16,0),0))</f>
        <v/>
      </c>
      <c r="M38" s="25">
        <f>IF($G38="","",$I38+$J38)</f>
        <v/>
      </c>
      <c r="N38" s="25">
        <f>IF($G38="","",$M38-$L38)</f>
        <v/>
      </c>
      <c r="O38" s="38" t="n"/>
      <c r="P38" s="38" t="n"/>
      <c r="Q38" s="37" t="n"/>
      <c r="R38" s="38" t="n"/>
      <c r="S38" s="40">
        <f>IF($A38="","",YEAR($A38))</f>
        <v/>
      </c>
      <c r="T38" s="40">
        <f>IF($A38="","",MONTH($A38))</f>
        <v/>
      </c>
      <c r="U38" s="40">
        <f>IF($Q38="","",YEAR($Q38))</f>
        <v/>
      </c>
      <c r="V38" s="40">
        <f>IF($Q38="","",MONTH($Q38))</f>
        <v/>
      </c>
    </row>
    <row r="39">
      <c r="A39" s="37" t="n"/>
      <c r="B39" s="38" t="n"/>
      <c r="C39" s="38" t="n"/>
      <c r="D39" s="38" t="n"/>
      <c r="E39" s="38" t="n"/>
      <c r="F39" s="38" t="n"/>
      <c r="G39" s="39" t="n"/>
      <c r="H39" s="38" t="n"/>
      <c r="I39" s="25">
        <f>IF($G39="","",IF(AND($H39="Sí",IFERROR(INDEX(Parámetros!$B$54:$B$60,MATCH($C39,Parámetros!$A$54:$A$60,0)),0)=1),ROUND($G39/(1+Parámetros!$B$13),0),$G39))</f>
        <v/>
      </c>
      <c r="J39" s="25">
        <f>IF($G39="","",IF(IFERROR(INDEX(Parámetros!$B$54:$B$60,MATCH($C39,Parámetros!$A$54:$A$60,0)),0)=1,ROUND($I39*Parámetros!$B$13,0),0))</f>
        <v/>
      </c>
      <c r="K39" s="25">
        <f>IF($G39="","",IF(IFERROR(INDEX(Parámetros!$C$54:$C$60,MATCH($C39,Parámetros!$A$54:$A$60,0)),0)=1,$J39,0))</f>
        <v/>
      </c>
      <c r="L39" s="25">
        <f>IF($G39="","",IF(IFERROR(INDEX(Parámetros!$D$54:$D$60,MATCH($C39,Parámetros!$A$54:$A$60,0)),0)=1,ROUND($I39*Parámetros!$B$16,0),0))</f>
        <v/>
      </c>
      <c r="M39" s="25">
        <f>IF($G39="","",$I39+$J39)</f>
        <v/>
      </c>
      <c r="N39" s="25">
        <f>IF($G39="","",$M39-$L39)</f>
        <v/>
      </c>
      <c r="O39" s="38" t="n"/>
      <c r="P39" s="38" t="n"/>
      <c r="Q39" s="37" t="n"/>
      <c r="R39" s="38" t="n"/>
      <c r="S39" s="40">
        <f>IF($A39="","",YEAR($A39))</f>
        <v/>
      </c>
      <c r="T39" s="40">
        <f>IF($A39="","",MONTH($A39))</f>
        <v/>
      </c>
      <c r="U39" s="40">
        <f>IF($Q39="","",YEAR($Q39))</f>
        <v/>
      </c>
      <c r="V39" s="40">
        <f>IF($Q39="","",MONTH($Q39))</f>
        <v/>
      </c>
    </row>
    <row r="40">
      <c r="A40" s="37" t="n"/>
      <c r="B40" s="38" t="n"/>
      <c r="C40" s="38" t="n"/>
      <c r="D40" s="38" t="n"/>
      <c r="E40" s="38" t="n"/>
      <c r="F40" s="38" t="n"/>
      <c r="G40" s="39" t="n"/>
      <c r="H40" s="38" t="n"/>
      <c r="I40" s="25">
        <f>IF($G40="","",IF(AND($H40="Sí",IFERROR(INDEX(Parámetros!$B$54:$B$60,MATCH($C40,Parámetros!$A$54:$A$60,0)),0)=1),ROUND($G40/(1+Parámetros!$B$13),0),$G40))</f>
        <v/>
      </c>
      <c r="J40" s="25">
        <f>IF($G40="","",IF(IFERROR(INDEX(Parámetros!$B$54:$B$60,MATCH($C40,Parámetros!$A$54:$A$60,0)),0)=1,ROUND($I40*Parámetros!$B$13,0),0))</f>
        <v/>
      </c>
      <c r="K40" s="25">
        <f>IF($G40="","",IF(IFERROR(INDEX(Parámetros!$C$54:$C$60,MATCH($C40,Parámetros!$A$54:$A$60,0)),0)=1,$J40,0))</f>
        <v/>
      </c>
      <c r="L40" s="25">
        <f>IF($G40="","",IF(IFERROR(INDEX(Parámetros!$D$54:$D$60,MATCH($C40,Parámetros!$A$54:$A$60,0)),0)=1,ROUND($I40*Parámetros!$B$16,0),0))</f>
        <v/>
      </c>
      <c r="M40" s="25">
        <f>IF($G40="","",$I40+$J40)</f>
        <v/>
      </c>
      <c r="N40" s="25">
        <f>IF($G40="","",$M40-$L40)</f>
        <v/>
      </c>
      <c r="O40" s="38" t="n"/>
      <c r="P40" s="38" t="n"/>
      <c r="Q40" s="37" t="n"/>
      <c r="R40" s="38" t="n"/>
      <c r="S40" s="40">
        <f>IF($A40="","",YEAR($A40))</f>
        <v/>
      </c>
      <c r="T40" s="40">
        <f>IF($A40="","",MONTH($A40))</f>
        <v/>
      </c>
      <c r="U40" s="40">
        <f>IF($Q40="","",YEAR($Q40))</f>
        <v/>
      </c>
      <c r="V40" s="40">
        <f>IF($Q40="","",MONTH($Q40))</f>
        <v/>
      </c>
    </row>
    <row r="41">
      <c r="A41" s="37" t="n"/>
      <c r="B41" s="38" t="n"/>
      <c r="C41" s="38" t="n"/>
      <c r="D41" s="38" t="n"/>
      <c r="E41" s="38" t="n"/>
      <c r="F41" s="38" t="n"/>
      <c r="G41" s="39" t="n"/>
      <c r="H41" s="38" t="n"/>
      <c r="I41" s="25">
        <f>IF($G41="","",IF(AND($H41="Sí",IFERROR(INDEX(Parámetros!$B$54:$B$60,MATCH($C41,Parámetros!$A$54:$A$60,0)),0)=1),ROUND($G41/(1+Parámetros!$B$13),0),$G41))</f>
        <v/>
      </c>
      <c r="J41" s="25">
        <f>IF($G41="","",IF(IFERROR(INDEX(Parámetros!$B$54:$B$60,MATCH($C41,Parámetros!$A$54:$A$60,0)),0)=1,ROUND($I41*Parámetros!$B$13,0),0))</f>
        <v/>
      </c>
      <c r="K41" s="25">
        <f>IF($G41="","",IF(IFERROR(INDEX(Parámetros!$C$54:$C$60,MATCH($C41,Parámetros!$A$54:$A$60,0)),0)=1,$J41,0))</f>
        <v/>
      </c>
      <c r="L41" s="25">
        <f>IF($G41="","",IF(IFERROR(INDEX(Parámetros!$D$54:$D$60,MATCH($C41,Parámetros!$A$54:$A$60,0)),0)=1,ROUND($I41*Parámetros!$B$16,0),0))</f>
        <v/>
      </c>
      <c r="M41" s="25">
        <f>IF($G41="","",$I41+$J41)</f>
        <v/>
      </c>
      <c r="N41" s="25">
        <f>IF($G41="","",$M41-$L41)</f>
        <v/>
      </c>
      <c r="O41" s="38" t="n"/>
      <c r="P41" s="38" t="n"/>
      <c r="Q41" s="37" t="n"/>
      <c r="R41" s="38" t="n"/>
      <c r="S41" s="40">
        <f>IF($A41="","",YEAR($A41))</f>
        <v/>
      </c>
      <c r="T41" s="40">
        <f>IF($A41="","",MONTH($A41))</f>
        <v/>
      </c>
      <c r="U41" s="40">
        <f>IF($Q41="","",YEAR($Q41))</f>
        <v/>
      </c>
      <c r="V41" s="40">
        <f>IF($Q41="","",MONTH($Q41))</f>
        <v/>
      </c>
    </row>
    <row r="42">
      <c r="A42" s="37" t="n"/>
      <c r="B42" s="38" t="n"/>
      <c r="C42" s="38" t="n"/>
      <c r="D42" s="38" t="n"/>
      <c r="E42" s="38" t="n"/>
      <c r="F42" s="38" t="n"/>
      <c r="G42" s="39" t="n"/>
      <c r="H42" s="38" t="n"/>
      <c r="I42" s="25">
        <f>IF($G42="","",IF(AND($H42="Sí",IFERROR(INDEX(Parámetros!$B$54:$B$60,MATCH($C42,Parámetros!$A$54:$A$60,0)),0)=1),ROUND($G42/(1+Parámetros!$B$13),0),$G42))</f>
        <v/>
      </c>
      <c r="J42" s="25">
        <f>IF($G42="","",IF(IFERROR(INDEX(Parámetros!$B$54:$B$60,MATCH($C42,Parámetros!$A$54:$A$60,0)),0)=1,ROUND($I42*Parámetros!$B$13,0),0))</f>
        <v/>
      </c>
      <c r="K42" s="25">
        <f>IF($G42="","",IF(IFERROR(INDEX(Parámetros!$C$54:$C$60,MATCH($C42,Parámetros!$A$54:$A$60,0)),0)=1,$J42,0))</f>
        <v/>
      </c>
      <c r="L42" s="25">
        <f>IF($G42="","",IF(IFERROR(INDEX(Parámetros!$D$54:$D$60,MATCH($C42,Parámetros!$A$54:$A$60,0)),0)=1,ROUND($I42*Parámetros!$B$16,0),0))</f>
        <v/>
      </c>
      <c r="M42" s="25">
        <f>IF($G42="","",$I42+$J42)</f>
        <v/>
      </c>
      <c r="N42" s="25">
        <f>IF($G42="","",$M42-$L42)</f>
        <v/>
      </c>
      <c r="O42" s="38" t="n"/>
      <c r="P42" s="38" t="n"/>
      <c r="Q42" s="37" t="n"/>
      <c r="R42" s="38" t="n"/>
      <c r="S42" s="40">
        <f>IF($A42="","",YEAR($A42))</f>
        <v/>
      </c>
      <c r="T42" s="40">
        <f>IF($A42="","",MONTH($A42))</f>
        <v/>
      </c>
      <c r="U42" s="40">
        <f>IF($Q42="","",YEAR($Q42))</f>
        <v/>
      </c>
      <c r="V42" s="40">
        <f>IF($Q42="","",MONTH($Q42))</f>
        <v/>
      </c>
    </row>
    <row r="43">
      <c r="A43" s="37" t="n"/>
      <c r="B43" s="38" t="n"/>
      <c r="C43" s="38" t="n"/>
      <c r="D43" s="38" t="n"/>
      <c r="E43" s="38" t="n"/>
      <c r="F43" s="38" t="n"/>
      <c r="G43" s="39" t="n"/>
      <c r="H43" s="38" t="n"/>
      <c r="I43" s="25">
        <f>IF($G43="","",IF(AND($H43="Sí",IFERROR(INDEX(Parámetros!$B$54:$B$60,MATCH($C43,Parámetros!$A$54:$A$60,0)),0)=1),ROUND($G43/(1+Parámetros!$B$13),0),$G43))</f>
        <v/>
      </c>
      <c r="J43" s="25">
        <f>IF($G43="","",IF(IFERROR(INDEX(Parámetros!$B$54:$B$60,MATCH($C43,Parámetros!$A$54:$A$60,0)),0)=1,ROUND($I43*Parámetros!$B$13,0),0))</f>
        <v/>
      </c>
      <c r="K43" s="25">
        <f>IF($G43="","",IF(IFERROR(INDEX(Parámetros!$C$54:$C$60,MATCH($C43,Parámetros!$A$54:$A$60,0)),0)=1,$J43,0))</f>
        <v/>
      </c>
      <c r="L43" s="25">
        <f>IF($G43="","",IF(IFERROR(INDEX(Parámetros!$D$54:$D$60,MATCH($C43,Parámetros!$A$54:$A$60,0)),0)=1,ROUND($I43*Parámetros!$B$16,0),0))</f>
        <v/>
      </c>
      <c r="M43" s="25">
        <f>IF($G43="","",$I43+$J43)</f>
        <v/>
      </c>
      <c r="N43" s="25">
        <f>IF($G43="","",$M43-$L43)</f>
        <v/>
      </c>
      <c r="O43" s="38" t="n"/>
      <c r="P43" s="38" t="n"/>
      <c r="Q43" s="37" t="n"/>
      <c r="R43" s="38" t="n"/>
      <c r="S43" s="40">
        <f>IF($A43="","",YEAR($A43))</f>
        <v/>
      </c>
      <c r="T43" s="40">
        <f>IF($A43="","",MONTH($A43))</f>
        <v/>
      </c>
      <c r="U43" s="40">
        <f>IF($Q43="","",YEAR($Q43))</f>
        <v/>
      </c>
      <c r="V43" s="40">
        <f>IF($Q43="","",MONTH($Q43))</f>
        <v/>
      </c>
    </row>
    <row r="44">
      <c r="A44" s="37" t="n"/>
      <c r="B44" s="38" t="n"/>
      <c r="C44" s="38" t="n"/>
      <c r="D44" s="38" t="n"/>
      <c r="E44" s="38" t="n"/>
      <c r="F44" s="38" t="n"/>
      <c r="G44" s="39" t="n"/>
      <c r="H44" s="38" t="n"/>
      <c r="I44" s="25">
        <f>IF($G44="","",IF(AND($H44="Sí",IFERROR(INDEX(Parámetros!$B$54:$B$60,MATCH($C44,Parámetros!$A$54:$A$60,0)),0)=1),ROUND($G44/(1+Parámetros!$B$13),0),$G44))</f>
        <v/>
      </c>
      <c r="J44" s="25">
        <f>IF($G44="","",IF(IFERROR(INDEX(Parámetros!$B$54:$B$60,MATCH($C44,Parámetros!$A$54:$A$60,0)),0)=1,ROUND($I44*Parámetros!$B$13,0),0))</f>
        <v/>
      </c>
      <c r="K44" s="25">
        <f>IF($G44="","",IF(IFERROR(INDEX(Parámetros!$C$54:$C$60,MATCH($C44,Parámetros!$A$54:$A$60,0)),0)=1,$J44,0))</f>
        <v/>
      </c>
      <c r="L44" s="25">
        <f>IF($G44="","",IF(IFERROR(INDEX(Parámetros!$D$54:$D$60,MATCH($C44,Parámetros!$A$54:$A$60,0)),0)=1,ROUND($I44*Parámetros!$B$16,0),0))</f>
        <v/>
      </c>
      <c r="M44" s="25">
        <f>IF($G44="","",$I44+$J44)</f>
        <v/>
      </c>
      <c r="N44" s="25">
        <f>IF($G44="","",$M44-$L44)</f>
        <v/>
      </c>
      <c r="O44" s="38" t="n"/>
      <c r="P44" s="38" t="n"/>
      <c r="Q44" s="37" t="n"/>
      <c r="R44" s="38" t="n"/>
      <c r="S44" s="40">
        <f>IF($A44="","",YEAR($A44))</f>
        <v/>
      </c>
      <c r="T44" s="40">
        <f>IF($A44="","",MONTH($A44))</f>
        <v/>
      </c>
      <c r="U44" s="40">
        <f>IF($Q44="","",YEAR($Q44))</f>
        <v/>
      </c>
      <c r="V44" s="40">
        <f>IF($Q44="","",MONTH($Q44))</f>
        <v/>
      </c>
    </row>
    <row r="45">
      <c r="A45" s="37" t="n"/>
      <c r="B45" s="38" t="n"/>
      <c r="C45" s="38" t="n"/>
      <c r="D45" s="38" t="n"/>
      <c r="E45" s="38" t="n"/>
      <c r="F45" s="38" t="n"/>
      <c r="G45" s="39" t="n"/>
      <c r="H45" s="38" t="n"/>
      <c r="I45" s="25">
        <f>IF($G45="","",IF(AND($H45="Sí",IFERROR(INDEX(Parámetros!$B$54:$B$60,MATCH($C45,Parámetros!$A$54:$A$60,0)),0)=1),ROUND($G45/(1+Parámetros!$B$13),0),$G45))</f>
        <v/>
      </c>
      <c r="J45" s="25">
        <f>IF($G45="","",IF(IFERROR(INDEX(Parámetros!$B$54:$B$60,MATCH($C45,Parámetros!$A$54:$A$60,0)),0)=1,ROUND($I45*Parámetros!$B$13,0),0))</f>
        <v/>
      </c>
      <c r="K45" s="25">
        <f>IF($G45="","",IF(IFERROR(INDEX(Parámetros!$C$54:$C$60,MATCH($C45,Parámetros!$A$54:$A$60,0)),0)=1,$J45,0))</f>
        <v/>
      </c>
      <c r="L45" s="25">
        <f>IF($G45="","",IF(IFERROR(INDEX(Parámetros!$D$54:$D$60,MATCH($C45,Parámetros!$A$54:$A$60,0)),0)=1,ROUND($I45*Parámetros!$B$16,0),0))</f>
        <v/>
      </c>
      <c r="M45" s="25">
        <f>IF($G45="","",$I45+$J45)</f>
        <v/>
      </c>
      <c r="N45" s="25">
        <f>IF($G45="","",$M45-$L45)</f>
        <v/>
      </c>
      <c r="O45" s="38" t="n"/>
      <c r="P45" s="38" t="n"/>
      <c r="Q45" s="37" t="n"/>
      <c r="R45" s="38" t="n"/>
      <c r="S45" s="40">
        <f>IF($A45="","",YEAR($A45))</f>
        <v/>
      </c>
      <c r="T45" s="40">
        <f>IF($A45="","",MONTH($A45))</f>
        <v/>
      </c>
      <c r="U45" s="40">
        <f>IF($Q45="","",YEAR($Q45))</f>
        <v/>
      </c>
      <c r="V45" s="40">
        <f>IF($Q45="","",MONTH($Q45))</f>
        <v/>
      </c>
    </row>
    <row r="46">
      <c r="A46" s="37" t="n"/>
      <c r="B46" s="38" t="n"/>
      <c r="C46" s="38" t="n"/>
      <c r="D46" s="38" t="n"/>
      <c r="E46" s="38" t="n"/>
      <c r="F46" s="38" t="n"/>
      <c r="G46" s="39" t="n"/>
      <c r="H46" s="38" t="n"/>
      <c r="I46" s="25">
        <f>IF($G46="","",IF(AND($H46="Sí",IFERROR(INDEX(Parámetros!$B$54:$B$60,MATCH($C46,Parámetros!$A$54:$A$60,0)),0)=1),ROUND($G46/(1+Parámetros!$B$13),0),$G46))</f>
        <v/>
      </c>
      <c r="J46" s="25">
        <f>IF($G46="","",IF(IFERROR(INDEX(Parámetros!$B$54:$B$60,MATCH($C46,Parámetros!$A$54:$A$60,0)),0)=1,ROUND($I46*Parámetros!$B$13,0),0))</f>
        <v/>
      </c>
      <c r="K46" s="25">
        <f>IF($G46="","",IF(IFERROR(INDEX(Parámetros!$C$54:$C$60,MATCH($C46,Parámetros!$A$54:$A$60,0)),0)=1,$J46,0))</f>
        <v/>
      </c>
      <c r="L46" s="25">
        <f>IF($G46="","",IF(IFERROR(INDEX(Parámetros!$D$54:$D$60,MATCH($C46,Parámetros!$A$54:$A$60,0)),0)=1,ROUND($I46*Parámetros!$B$16,0),0))</f>
        <v/>
      </c>
      <c r="M46" s="25">
        <f>IF($G46="","",$I46+$J46)</f>
        <v/>
      </c>
      <c r="N46" s="25">
        <f>IF($G46="","",$M46-$L46)</f>
        <v/>
      </c>
      <c r="O46" s="38" t="n"/>
      <c r="P46" s="38" t="n"/>
      <c r="Q46" s="37" t="n"/>
      <c r="R46" s="38" t="n"/>
      <c r="S46" s="40">
        <f>IF($A46="","",YEAR($A46))</f>
        <v/>
      </c>
      <c r="T46" s="40">
        <f>IF($A46="","",MONTH($A46))</f>
        <v/>
      </c>
      <c r="U46" s="40">
        <f>IF($Q46="","",YEAR($Q46))</f>
        <v/>
      </c>
      <c r="V46" s="40">
        <f>IF($Q46="","",MONTH($Q46))</f>
        <v/>
      </c>
    </row>
    <row r="47">
      <c r="A47" s="37" t="n"/>
      <c r="B47" s="38" t="n"/>
      <c r="C47" s="38" t="n"/>
      <c r="D47" s="38" t="n"/>
      <c r="E47" s="38" t="n"/>
      <c r="F47" s="38" t="n"/>
      <c r="G47" s="39" t="n"/>
      <c r="H47" s="38" t="n"/>
      <c r="I47" s="25">
        <f>IF($G47="","",IF(AND($H47="Sí",IFERROR(INDEX(Parámetros!$B$54:$B$60,MATCH($C47,Parámetros!$A$54:$A$60,0)),0)=1),ROUND($G47/(1+Parámetros!$B$13),0),$G47))</f>
        <v/>
      </c>
      <c r="J47" s="25">
        <f>IF($G47="","",IF(IFERROR(INDEX(Parámetros!$B$54:$B$60,MATCH($C47,Parámetros!$A$54:$A$60,0)),0)=1,ROUND($I47*Parámetros!$B$13,0),0))</f>
        <v/>
      </c>
      <c r="K47" s="25">
        <f>IF($G47="","",IF(IFERROR(INDEX(Parámetros!$C$54:$C$60,MATCH($C47,Parámetros!$A$54:$A$60,0)),0)=1,$J47,0))</f>
        <v/>
      </c>
      <c r="L47" s="25">
        <f>IF($G47="","",IF(IFERROR(INDEX(Parámetros!$D$54:$D$60,MATCH($C47,Parámetros!$A$54:$A$60,0)),0)=1,ROUND($I47*Parámetros!$B$16,0),0))</f>
        <v/>
      </c>
      <c r="M47" s="25">
        <f>IF($G47="","",$I47+$J47)</f>
        <v/>
      </c>
      <c r="N47" s="25">
        <f>IF($G47="","",$M47-$L47)</f>
        <v/>
      </c>
      <c r="O47" s="38" t="n"/>
      <c r="P47" s="38" t="n"/>
      <c r="Q47" s="37" t="n"/>
      <c r="R47" s="38" t="n"/>
      <c r="S47" s="40">
        <f>IF($A47="","",YEAR($A47))</f>
        <v/>
      </c>
      <c r="T47" s="40">
        <f>IF($A47="","",MONTH($A47))</f>
        <v/>
      </c>
      <c r="U47" s="40">
        <f>IF($Q47="","",YEAR($Q47))</f>
        <v/>
      </c>
      <c r="V47" s="40">
        <f>IF($Q47="","",MONTH($Q47))</f>
        <v/>
      </c>
    </row>
    <row r="48">
      <c r="A48" s="37" t="n"/>
      <c r="B48" s="38" t="n"/>
      <c r="C48" s="38" t="n"/>
      <c r="D48" s="38" t="n"/>
      <c r="E48" s="38" t="n"/>
      <c r="F48" s="38" t="n"/>
      <c r="G48" s="39" t="n"/>
      <c r="H48" s="38" t="n"/>
      <c r="I48" s="25">
        <f>IF($G48="","",IF(AND($H48="Sí",IFERROR(INDEX(Parámetros!$B$54:$B$60,MATCH($C48,Parámetros!$A$54:$A$60,0)),0)=1),ROUND($G48/(1+Parámetros!$B$13),0),$G48))</f>
        <v/>
      </c>
      <c r="J48" s="25">
        <f>IF($G48="","",IF(IFERROR(INDEX(Parámetros!$B$54:$B$60,MATCH($C48,Parámetros!$A$54:$A$60,0)),0)=1,ROUND($I48*Parámetros!$B$13,0),0))</f>
        <v/>
      </c>
      <c r="K48" s="25">
        <f>IF($G48="","",IF(IFERROR(INDEX(Parámetros!$C$54:$C$60,MATCH($C48,Parámetros!$A$54:$A$60,0)),0)=1,$J48,0))</f>
        <v/>
      </c>
      <c r="L48" s="25">
        <f>IF($G48="","",IF(IFERROR(INDEX(Parámetros!$D$54:$D$60,MATCH($C48,Parámetros!$A$54:$A$60,0)),0)=1,ROUND($I48*Parámetros!$B$16,0),0))</f>
        <v/>
      </c>
      <c r="M48" s="25">
        <f>IF($G48="","",$I48+$J48)</f>
        <v/>
      </c>
      <c r="N48" s="25">
        <f>IF($G48="","",$M48-$L48)</f>
        <v/>
      </c>
      <c r="O48" s="38" t="n"/>
      <c r="P48" s="38" t="n"/>
      <c r="Q48" s="37" t="n"/>
      <c r="R48" s="38" t="n"/>
      <c r="S48" s="40">
        <f>IF($A48="","",YEAR($A48))</f>
        <v/>
      </c>
      <c r="T48" s="40">
        <f>IF($A48="","",MONTH($A48))</f>
        <v/>
      </c>
      <c r="U48" s="40">
        <f>IF($Q48="","",YEAR($Q48))</f>
        <v/>
      </c>
      <c r="V48" s="40">
        <f>IF($Q48="","",MONTH($Q48))</f>
        <v/>
      </c>
    </row>
    <row r="49">
      <c r="A49" s="37" t="n"/>
      <c r="B49" s="38" t="n"/>
      <c r="C49" s="38" t="n"/>
      <c r="D49" s="38" t="n"/>
      <c r="E49" s="38" t="n"/>
      <c r="F49" s="38" t="n"/>
      <c r="G49" s="39" t="n"/>
      <c r="H49" s="38" t="n"/>
      <c r="I49" s="25">
        <f>IF($G49="","",IF(AND($H49="Sí",IFERROR(INDEX(Parámetros!$B$54:$B$60,MATCH($C49,Parámetros!$A$54:$A$60,0)),0)=1),ROUND($G49/(1+Parámetros!$B$13),0),$G49))</f>
        <v/>
      </c>
      <c r="J49" s="25">
        <f>IF($G49="","",IF(IFERROR(INDEX(Parámetros!$B$54:$B$60,MATCH($C49,Parámetros!$A$54:$A$60,0)),0)=1,ROUND($I49*Parámetros!$B$13,0),0))</f>
        <v/>
      </c>
      <c r="K49" s="25">
        <f>IF($G49="","",IF(IFERROR(INDEX(Parámetros!$C$54:$C$60,MATCH($C49,Parámetros!$A$54:$A$60,0)),0)=1,$J49,0))</f>
        <v/>
      </c>
      <c r="L49" s="25">
        <f>IF($G49="","",IF(IFERROR(INDEX(Parámetros!$D$54:$D$60,MATCH($C49,Parámetros!$A$54:$A$60,0)),0)=1,ROUND($I49*Parámetros!$B$16,0),0))</f>
        <v/>
      </c>
      <c r="M49" s="25">
        <f>IF($G49="","",$I49+$J49)</f>
        <v/>
      </c>
      <c r="N49" s="25">
        <f>IF($G49="","",$M49-$L49)</f>
        <v/>
      </c>
      <c r="O49" s="38" t="n"/>
      <c r="P49" s="38" t="n"/>
      <c r="Q49" s="37" t="n"/>
      <c r="R49" s="38" t="n"/>
      <c r="S49" s="40">
        <f>IF($A49="","",YEAR($A49))</f>
        <v/>
      </c>
      <c r="T49" s="40">
        <f>IF($A49="","",MONTH($A49))</f>
        <v/>
      </c>
      <c r="U49" s="40">
        <f>IF($Q49="","",YEAR($Q49))</f>
        <v/>
      </c>
      <c r="V49" s="40">
        <f>IF($Q49="","",MONTH($Q49))</f>
        <v/>
      </c>
    </row>
    <row r="50">
      <c r="A50" s="37" t="n"/>
      <c r="B50" s="38" t="n"/>
      <c r="C50" s="38" t="n"/>
      <c r="D50" s="38" t="n"/>
      <c r="E50" s="38" t="n"/>
      <c r="F50" s="38" t="n"/>
      <c r="G50" s="39" t="n"/>
      <c r="H50" s="38" t="n"/>
      <c r="I50" s="25">
        <f>IF($G50="","",IF(AND($H50="Sí",IFERROR(INDEX(Parámetros!$B$54:$B$60,MATCH($C50,Parámetros!$A$54:$A$60,0)),0)=1),ROUND($G50/(1+Parámetros!$B$13),0),$G50))</f>
        <v/>
      </c>
      <c r="J50" s="25">
        <f>IF($G50="","",IF(IFERROR(INDEX(Parámetros!$B$54:$B$60,MATCH($C50,Parámetros!$A$54:$A$60,0)),0)=1,ROUND($I50*Parámetros!$B$13,0),0))</f>
        <v/>
      </c>
      <c r="K50" s="25">
        <f>IF($G50="","",IF(IFERROR(INDEX(Parámetros!$C$54:$C$60,MATCH($C50,Parámetros!$A$54:$A$60,0)),0)=1,$J50,0))</f>
        <v/>
      </c>
      <c r="L50" s="25">
        <f>IF($G50="","",IF(IFERROR(INDEX(Parámetros!$D$54:$D$60,MATCH($C50,Parámetros!$A$54:$A$60,0)),0)=1,ROUND($I50*Parámetros!$B$16,0),0))</f>
        <v/>
      </c>
      <c r="M50" s="25">
        <f>IF($G50="","",$I50+$J50)</f>
        <v/>
      </c>
      <c r="N50" s="25">
        <f>IF($G50="","",$M50-$L50)</f>
        <v/>
      </c>
      <c r="O50" s="38" t="n"/>
      <c r="P50" s="38" t="n"/>
      <c r="Q50" s="37" t="n"/>
      <c r="R50" s="38" t="n"/>
      <c r="S50" s="40">
        <f>IF($A50="","",YEAR($A50))</f>
        <v/>
      </c>
      <c r="T50" s="40">
        <f>IF($A50="","",MONTH($A50))</f>
        <v/>
      </c>
      <c r="U50" s="40">
        <f>IF($Q50="","",YEAR($Q50))</f>
        <v/>
      </c>
      <c r="V50" s="40">
        <f>IF($Q50="","",MONTH($Q50))</f>
        <v/>
      </c>
    </row>
    <row r="51">
      <c r="A51" s="37" t="n"/>
      <c r="B51" s="38" t="n"/>
      <c r="C51" s="38" t="n"/>
      <c r="D51" s="38" t="n"/>
      <c r="E51" s="38" t="n"/>
      <c r="F51" s="38" t="n"/>
      <c r="G51" s="39" t="n"/>
      <c r="H51" s="38" t="n"/>
      <c r="I51" s="25">
        <f>IF($G51="","",IF(AND($H51="Sí",IFERROR(INDEX(Parámetros!$B$54:$B$60,MATCH($C51,Parámetros!$A$54:$A$60,0)),0)=1),ROUND($G51/(1+Parámetros!$B$13),0),$G51))</f>
        <v/>
      </c>
      <c r="J51" s="25">
        <f>IF($G51="","",IF(IFERROR(INDEX(Parámetros!$B$54:$B$60,MATCH($C51,Parámetros!$A$54:$A$60,0)),0)=1,ROUND($I51*Parámetros!$B$13,0),0))</f>
        <v/>
      </c>
      <c r="K51" s="25">
        <f>IF($G51="","",IF(IFERROR(INDEX(Parámetros!$C$54:$C$60,MATCH($C51,Parámetros!$A$54:$A$60,0)),0)=1,$J51,0))</f>
        <v/>
      </c>
      <c r="L51" s="25">
        <f>IF($G51="","",IF(IFERROR(INDEX(Parámetros!$D$54:$D$60,MATCH($C51,Parámetros!$A$54:$A$60,0)),0)=1,ROUND($I51*Parámetros!$B$16,0),0))</f>
        <v/>
      </c>
      <c r="M51" s="25">
        <f>IF($G51="","",$I51+$J51)</f>
        <v/>
      </c>
      <c r="N51" s="25">
        <f>IF($G51="","",$M51-$L51)</f>
        <v/>
      </c>
      <c r="O51" s="38" t="n"/>
      <c r="P51" s="38" t="n"/>
      <c r="Q51" s="37" t="n"/>
      <c r="R51" s="38" t="n"/>
      <c r="S51" s="40">
        <f>IF($A51="","",YEAR($A51))</f>
        <v/>
      </c>
      <c r="T51" s="40">
        <f>IF($A51="","",MONTH($A51))</f>
        <v/>
      </c>
      <c r="U51" s="40">
        <f>IF($Q51="","",YEAR($Q51))</f>
        <v/>
      </c>
      <c r="V51" s="40">
        <f>IF($Q51="","",MONTH($Q51))</f>
        <v/>
      </c>
    </row>
    <row r="52">
      <c r="A52" s="37" t="n"/>
      <c r="B52" s="38" t="n"/>
      <c r="C52" s="38" t="n"/>
      <c r="D52" s="38" t="n"/>
      <c r="E52" s="38" t="n"/>
      <c r="F52" s="38" t="n"/>
      <c r="G52" s="39" t="n"/>
      <c r="H52" s="38" t="n"/>
      <c r="I52" s="25">
        <f>IF($G52="","",IF(AND($H52="Sí",IFERROR(INDEX(Parámetros!$B$54:$B$60,MATCH($C52,Parámetros!$A$54:$A$60,0)),0)=1),ROUND($G52/(1+Parámetros!$B$13),0),$G52))</f>
        <v/>
      </c>
      <c r="J52" s="25">
        <f>IF($G52="","",IF(IFERROR(INDEX(Parámetros!$B$54:$B$60,MATCH($C52,Parámetros!$A$54:$A$60,0)),0)=1,ROUND($I52*Parámetros!$B$13,0),0))</f>
        <v/>
      </c>
      <c r="K52" s="25">
        <f>IF($G52="","",IF(IFERROR(INDEX(Parámetros!$C$54:$C$60,MATCH($C52,Parámetros!$A$54:$A$60,0)),0)=1,$J52,0))</f>
        <v/>
      </c>
      <c r="L52" s="25">
        <f>IF($G52="","",IF(IFERROR(INDEX(Parámetros!$D$54:$D$60,MATCH($C52,Parámetros!$A$54:$A$60,0)),0)=1,ROUND($I52*Parámetros!$B$16,0),0))</f>
        <v/>
      </c>
      <c r="M52" s="25">
        <f>IF($G52="","",$I52+$J52)</f>
        <v/>
      </c>
      <c r="N52" s="25">
        <f>IF($G52="","",$M52-$L52)</f>
        <v/>
      </c>
      <c r="O52" s="38" t="n"/>
      <c r="P52" s="38" t="n"/>
      <c r="Q52" s="37" t="n"/>
      <c r="R52" s="38" t="n"/>
      <c r="S52" s="40">
        <f>IF($A52="","",YEAR($A52))</f>
        <v/>
      </c>
      <c r="T52" s="40">
        <f>IF($A52="","",MONTH($A52))</f>
        <v/>
      </c>
      <c r="U52" s="40">
        <f>IF($Q52="","",YEAR($Q52))</f>
        <v/>
      </c>
      <c r="V52" s="40">
        <f>IF($Q52="","",MONTH($Q52))</f>
        <v/>
      </c>
    </row>
    <row r="53">
      <c r="A53" s="37" t="n"/>
      <c r="B53" s="38" t="n"/>
      <c r="C53" s="38" t="n"/>
      <c r="D53" s="38" t="n"/>
      <c r="E53" s="38" t="n"/>
      <c r="F53" s="38" t="n"/>
      <c r="G53" s="39" t="n"/>
      <c r="H53" s="38" t="n"/>
      <c r="I53" s="25">
        <f>IF($G53="","",IF(AND($H53="Sí",IFERROR(INDEX(Parámetros!$B$54:$B$60,MATCH($C53,Parámetros!$A$54:$A$60,0)),0)=1),ROUND($G53/(1+Parámetros!$B$13),0),$G53))</f>
        <v/>
      </c>
      <c r="J53" s="25">
        <f>IF($G53="","",IF(IFERROR(INDEX(Parámetros!$B$54:$B$60,MATCH($C53,Parámetros!$A$54:$A$60,0)),0)=1,ROUND($I53*Parámetros!$B$13,0),0))</f>
        <v/>
      </c>
      <c r="K53" s="25">
        <f>IF($G53="","",IF(IFERROR(INDEX(Parámetros!$C$54:$C$60,MATCH($C53,Parámetros!$A$54:$A$60,0)),0)=1,$J53,0))</f>
        <v/>
      </c>
      <c r="L53" s="25">
        <f>IF($G53="","",IF(IFERROR(INDEX(Parámetros!$D$54:$D$60,MATCH($C53,Parámetros!$A$54:$A$60,0)),0)=1,ROUND($I53*Parámetros!$B$16,0),0))</f>
        <v/>
      </c>
      <c r="M53" s="25">
        <f>IF($G53="","",$I53+$J53)</f>
        <v/>
      </c>
      <c r="N53" s="25">
        <f>IF($G53="","",$M53-$L53)</f>
        <v/>
      </c>
      <c r="O53" s="38" t="n"/>
      <c r="P53" s="38" t="n"/>
      <c r="Q53" s="37" t="n"/>
      <c r="R53" s="38" t="n"/>
      <c r="S53" s="40">
        <f>IF($A53="","",YEAR($A53))</f>
        <v/>
      </c>
      <c r="T53" s="40">
        <f>IF($A53="","",MONTH($A53))</f>
        <v/>
      </c>
      <c r="U53" s="40">
        <f>IF($Q53="","",YEAR($Q53))</f>
        <v/>
      </c>
      <c r="V53" s="40">
        <f>IF($Q53="","",MONTH($Q53))</f>
        <v/>
      </c>
    </row>
    <row r="54">
      <c r="A54" s="37" t="n"/>
      <c r="B54" s="38" t="n"/>
      <c r="C54" s="38" t="n"/>
      <c r="D54" s="38" t="n"/>
      <c r="E54" s="38" t="n"/>
      <c r="F54" s="38" t="n"/>
      <c r="G54" s="39" t="n"/>
      <c r="H54" s="38" t="n"/>
      <c r="I54" s="25">
        <f>IF($G54="","",IF(AND($H54="Sí",IFERROR(INDEX(Parámetros!$B$54:$B$60,MATCH($C54,Parámetros!$A$54:$A$60,0)),0)=1),ROUND($G54/(1+Parámetros!$B$13),0),$G54))</f>
        <v/>
      </c>
      <c r="J54" s="25">
        <f>IF($G54="","",IF(IFERROR(INDEX(Parámetros!$B$54:$B$60,MATCH($C54,Parámetros!$A$54:$A$60,0)),0)=1,ROUND($I54*Parámetros!$B$13,0),0))</f>
        <v/>
      </c>
      <c r="K54" s="25">
        <f>IF($G54="","",IF(IFERROR(INDEX(Parámetros!$C$54:$C$60,MATCH($C54,Parámetros!$A$54:$A$60,0)),0)=1,$J54,0))</f>
        <v/>
      </c>
      <c r="L54" s="25">
        <f>IF($G54="","",IF(IFERROR(INDEX(Parámetros!$D$54:$D$60,MATCH($C54,Parámetros!$A$54:$A$60,0)),0)=1,ROUND($I54*Parámetros!$B$16,0),0))</f>
        <v/>
      </c>
      <c r="M54" s="25">
        <f>IF($G54="","",$I54+$J54)</f>
        <v/>
      </c>
      <c r="N54" s="25">
        <f>IF($G54="","",$M54-$L54)</f>
        <v/>
      </c>
      <c r="O54" s="38" t="n"/>
      <c r="P54" s="38" t="n"/>
      <c r="Q54" s="37" t="n"/>
      <c r="R54" s="38" t="n"/>
      <c r="S54" s="40">
        <f>IF($A54="","",YEAR($A54))</f>
        <v/>
      </c>
      <c r="T54" s="40">
        <f>IF($A54="","",MONTH($A54))</f>
        <v/>
      </c>
      <c r="U54" s="40">
        <f>IF($Q54="","",YEAR($Q54))</f>
        <v/>
      </c>
      <c r="V54" s="40">
        <f>IF($Q54="","",MONTH($Q54))</f>
        <v/>
      </c>
    </row>
    <row r="55">
      <c r="A55" s="37" t="n"/>
      <c r="B55" s="38" t="n"/>
      <c r="C55" s="38" t="n"/>
      <c r="D55" s="38" t="n"/>
      <c r="E55" s="38" t="n"/>
      <c r="F55" s="38" t="n"/>
      <c r="G55" s="39" t="n"/>
      <c r="H55" s="38" t="n"/>
      <c r="I55" s="25">
        <f>IF($G55="","",IF(AND($H55="Sí",IFERROR(INDEX(Parámetros!$B$54:$B$60,MATCH($C55,Parámetros!$A$54:$A$60,0)),0)=1),ROUND($G55/(1+Parámetros!$B$13),0),$G55))</f>
        <v/>
      </c>
      <c r="J55" s="25">
        <f>IF($G55="","",IF(IFERROR(INDEX(Parámetros!$B$54:$B$60,MATCH($C55,Parámetros!$A$54:$A$60,0)),0)=1,ROUND($I55*Parámetros!$B$13,0),0))</f>
        <v/>
      </c>
      <c r="K55" s="25">
        <f>IF($G55="","",IF(IFERROR(INDEX(Parámetros!$C$54:$C$60,MATCH($C55,Parámetros!$A$54:$A$60,0)),0)=1,$J55,0))</f>
        <v/>
      </c>
      <c r="L55" s="25">
        <f>IF($G55="","",IF(IFERROR(INDEX(Parámetros!$D$54:$D$60,MATCH($C55,Parámetros!$A$54:$A$60,0)),0)=1,ROUND($I55*Parámetros!$B$16,0),0))</f>
        <v/>
      </c>
      <c r="M55" s="25">
        <f>IF($G55="","",$I55+$J55)</f>
        <v/>
      </c>
      <c r="N55" s="25">
        <f>IF($G55="","",$M55-$L55)</f>
        <v/>
      </c>
      <c r="O55" s="38" t="n"/>
      <c r="P55" s="38" t="n"/>
      <c r="Q55" s="37" t="n"/>
      <c r="R55" s="38" t="n"/>
      <c r="S55" s="40">
        <f>IF($A55="","",YEAR($A55))</f>
        <v/>
      </c>
      <c r="T55" s="40">
        <f>IF($A55="","",MONTH($A55))</f>
        <v/>
      </c>
      <c r="U55" s="40">
        <f>IF($Q55="","",YEAR($Q55))</f>
        <v/>
      </c>
      <c r="V55" s="40">
        <f>IF($Q55="","",MONTH($Q55))</f>
        <v/>
      </c>
    </row>
    <row r="56">
      <c r="A56" s="37" t="n"/>
      <c r="B56" s="38" t="n"/>
      <c r="C56" s="38" t="n"/>
      <c r="D56" s="38" t="n"/>
      <c r="E56" s="38" t="n"/>
      <c r="F56" s="38" t="n"/>
      <c r="G56" s="39" t="n"/>
      <c r="H56" s="38" t="n"/>
      <c r="I56" s="25">
        <f>IF($G56="","",IF(AND($H56="Sí",IFERROR(INDEX(Parámetros!$B$54:$B$60,MATCH($C56,Parámetros!$A$54:$A$60,0)),0)=1),ROUND($G56/(1+Parámetros!$B$13),0),$G56))</f>
        <v/>
      </c>
      <c r="J56" s="25">
        <f>IF($G56="","",IF(IFERROR(INDEX(Parámetros!$B$54:$B$60,MATCH($C56,Parámetros!$A$54:$A$60,0)),0)=1,ROUND($I56*Parámetros!$B$13,0),0))</f>
        <v/>
      </c>
      <c r="K56" s="25">
        <f>IF($G56="","",IF(IFERROR(INDEX(Parámetros!$C$54:$C$60,MATCH($C56,Parámetros!$A$54:$A$60,0)),0)=1,$J56,0))</f>
        <v/>
      </c>
      <c r="L56" s="25">
        <f>IF($G56="","",IF(IFERROR(INDEX(Parámetros!$D$54:$D$60,MATCH($C56,Parámetros!$A$54:$A$60,0)),0)=1,ROUND($I56*Parámetros!$B$16,0),0))</f>
        <v/>
      </c>
      <c r="M56" s="25">
        <f>IF($G56="","",$I56+$J56)</f>
        <v/>
      </c>
      <c r="N56" s="25">
        <f>IF($G56="","",$M56-$L56)</f>
        <v/>
      </c>
      <c r="O56" s="38" t="n"/>
      <c r="P56" s="38" t="n"/>
      <c r="Q56" s="37" t="n"/>
      <c r="R56" s="38" t="n"/>
      <c r="S56" s="40">
        <f>IF($A56="","",YEAR($A56))</f>
        <v/>
      </c>
      <c r="T56" s="40">
        <f>IF($A56="","",MONTH($A56))</f>
        <v/>
      </c>
      <c r="U56" s="40">
        <f>IF($Q56="","",YEAR($Q56))</f>
        <v/>
      </c>
      <c r="V56" s="40">
        <f>IF($Q56="","",MONTH($Q56))</f>
        <v/>
      </c>
    </row>
    <row r="57">
      <c r="A57" s="37" t="n"/>
      <c r="B57" s="38" t="n"/>
      <c r="C57" s="38" t="n"/>
      <c r="D57" s="38" t="n"/>
      <c r="E57" s="38" t="n"/>
      <c r="F57" s="38" t="n"/>
      <c r="G57" s="39" t="n"/>
      <c r="H57" s="38" t="n"/>
      <c r="I57" s="25">
        <f>IF($G57="","",IF(AND($H57="Sí",IFERROR(INDEX(Parámetros!$B$54:$B$60,MATCH($C57,Parámetros!$A$54:$A$60,0)),0)=1),ROUND($G57/(1+Parámetros!$B$13),0),$G57))</f>
        <v/>
      </c>
      <c r="J57" s="25">
        <f>IF($G57="","",IF(IFERROR(INDEX(Parámetros!$B$54:$B$60,MATCH($C57,Parámetros!$A$54:$A$60,0)),0)=1,ROUND($I57*Parámetros!$B$13,0),0))</f>
        <v/>
      </c>
      <c r="K57" s="25">
        <f>IF($G57="","",IF(IFERROR(INDEX(Parámetros!$C$54:$C$60,MATCH($C57,Parámetros!$A$54:$A$60,0)),0)=1,$J57,0))</f>
        <v/>
      </c>
      <c r="L57" s="25">
        <f>IF($G57="","",IF(IFERROR(INDEX(Parámetros!$D$54:$D$60,MATCH($C57,Parámetros!$A$54:$A$60,0)),0)=1,ROUND($I57*Parámetros!$B$16,0),0))</f>
        <v/>
      </c>
      <c r="M57" s="25">
        <f>IF($G57="","",$I57+$J57)</f>
        <v/>
      </c>
      <c r="N57" s="25">
        <f>IF($G57="","",$M57-$L57)</f>
        <v/>
      </c>
      <c r="O57" s="38" t="n"/>
      <c r="P57" s="38" t="n"/>
      <c r="Q57" s="37" t="n"/>
      <c r="R57" s="38" t="n"/>
      <c r="S57" s="40">
        <f>IF($A57="","",YEAR($A57))</f>
        <v/>
      </c>
      <c r="T57" s="40">
        <f>IF($A57="","",MONTH($A57))</f>
        <v/>
      </c>
      <c r="U57" s="40">
        <f>IF($Q57="","",YEAR($Q57))</f>
        <v/>
      </c>
      <c r="V57" s="40">
        <f>IF($Q57="","",MONTH($Q57))</f>
        <v/>
      </c>
    </row>
    <row r="58">
      <c r="A58" s="37" t="n"/>
      <c r="B58" s="38" t="n"/>
      <c r="C58" s="38" t="n"/>
      <c r="D58" s="38" t="n"/>
      <c r="E58" s="38" t="n"/>
      <c r="F58" s="38" t="n"/>
      <c r="G58" s="39" t="n"/>
      <c r="H58" s="38" t="n"/>
      <c r="I58" s="25">
        <f>IF($G58="","",IF(AND($H58="Sí",IFERROR(INDEX(Parámetros!$B$54:$B$60,MATCH($C58,Parámetros!$A$54:$A$60,0)),0)=1),ROUND($G58/(1+Parámetros!$B$13),0),$G58))</f>
        <v/>
      </c>
      <c r="J58" s="25">
        <f>IF($G58="","",IF(IFERROR(INDEX(Parámetros!$B$54:$B$60,MATCH($C58,Parámetros!$A$54:$A$60,0)),0)=1,ROUND($I58*Parámetros!$B$13,0),0))</f>
        <v/>
      </c>
      <c r="K58" s="25">
        <f>IF($G58="","",IF(IFERROR(INDEX(Parámetros!$C$54:$C$60,MATCH($C58,Parámetros!$A$54:$A$60,0)),0)=1,$J58,0))</f>
        <v/>
      </c>
      <c r="L58" s="25">
        <f>IF($G58="","",IF(IFERROR(INDEX(Parámetros!$D$54:$D$60,MATCH($C58,Parámetros!$A$54:$A$60,0)),0)=1,ROUND($I58*Parámetros!$B$16,0),0))</f>
        <v/>
      </c>
      <c r="M58" s="25">
        <f>IF($G58="","",$I58+$J58)</f>
        <v/>
      </c>
      <c r="N58" s="25">
        <f>IF($G58="","",$M58-$L58)</f>
        <v/>
      </c>
      <c r="O58" s="38" t="n"/>
      <c r="P58" s="38" t="n"/>
      <c r="Q58" s="37" t="n"/>
      <c r="R58" s="38" t="n"/>
      <c r="S58" s="40">
        <f>IF($A58="","",YEAR($A58))</f>
        <v/>
      </c>
      <c r="T58" s="40">
        <f>IF($A58="","",MONTH($A58))</f>
        <v/>
      </c>
      <c r="U58" s="40">
        <f>IF($Q58="","",YEAR($Q58))</f>
        <v/>
      </c>
      <c r="V58" s="40">
        <f>IF($Q58="","",MONTH($Q58))</f>
        <v/>
      </c>
    </row>
    <row r="59">
      <c r="A59" s="37" t="n"/>
      <c r="B59" s="38" t="n"/>
      <c r="C59" s="38" t="n"/>
      <c r="D59" s="38" t="n"/>
      <c r="E59" s="38" t="n"/>
      <c r="F59" s="38" t="n"/>
      <c r="G59" s="39" t="n"/>
      <c r="H59" s="38" t="n"/>
      <c r="I59" s="25">
        <f>IF($G59="","",IF(AND($H59="Sí",IFERROR(INDEX(Parámetros!$B$54:$B$60,MATCH($C59,Parámetros!$A$54:$A$60,0)),0)=1),ROUND($G59/(1+Parámetros!$B$13),0),$G59))</f>
        <v/>
      </c>
      <c r="J59" s="25">
        <f>IF($G59="","",IF(IFERROR(INDEX(Parámetros!$B$54:$B$60,MATCH($C59,Parámetros!$A$54:$A$60,0)),0)=1,ROUND($I59*Parámetros!$B$13,0),0))</f>
        <v/>
      </c>
      <c r="K59" s="25">
        <f>IF($G59="","",IF(IFERROR(INDEX(Parámetros!$C$54:$C$60,MATCH($C59,Parámetros!$A$54:$A$60,0)),0)=1,$J59,0))</f>
        <v/>
      </c>
      <c r="L59" s="25">
        <f>IF($G59="","",IF(IFERROR(INDEX(Parámetros!$D$54:$D$60,MATCH($C59,Parámetros!$A$54:$A$60,0)),0)=1,ROUND($I59*Parámetros!$B$16,0),0))</f>
        <v/>
      </c>
      <c r="M59" s="25">
        <f>IF($G59="","",$I59+$J59)</f>
        <v/>
      </c>
      <c r="N59" s="25">
        <f>IF($G59="","",$M59-$L59)</f>
        <v/>
      </c>
      <c r="O59" s="38" t="n"/>
      <c r="P59" s="38" t="n"/>
      <c r="Q59" s="37" t="n"/>
      <c r="R59" s="38" t="n"/>
      <c r="S59" s="40">
        <f>IF($A59="","",YEAR($A59))</f>
        <v/>
      </c>
      <c r="T59" s="40">
        <f>IF($A59="","",MONTH($A59))</f>
        <v/>
      </c>
      <c r="U59" s="40">
        <f>IF($Q59="","",YEAR($Q59))</f>
        <v/>
      </c>
      <c r="V59" s="40">
        <f>IF($Q59="","",MONTH($Q59))</f>
        <v/>
      </c>
    </row>
    <row r="60">
      <c r="A60" s="37" t="n"/>
      <c r="B60" s="38" t="n"/>
      <c r="C60" s="38" t="n"/>
      <c r="D60" s="38" t="n"/>
      <c r="E60" s="38" t="n"/>
      <c r="F60" s="38" t="n"/>
      <c r="G60" s="39" t="n"/>
      <c r="H60" s="38" t="n"/>
      <c r="I60" s="25">
        <f>IF($G60="","",IF(AND($H60="Sí",IFERROR(INDEX(Parámetros!$B$54:$B$60,MATCH($C60,Parámetros!$A$54:$A$60,0)),0)=1),ROUND($G60/(1+Parámetros!$B$13),0),$G60))</f>
        <v/>
      </c>
      <c r="J60" s="25">
        <f>IF($G60="","",IF(IFERROR(INDEX(Parámetros!$B$54:$B$60,MATCH($C60,Parámetros!$A$54:$A$60,0)),0)=1,ROUND($I60*Parámetros!$B$13,0),0))</f>
        <v/>
      </c>
      <c r="K60" s="25">
        <f>IF($G60="","",IF(IFERROR(INDEX(Parámetros!$C$54:$C$60,MATCH($C60,Parámetros!$A$54:$A$60,0)),0)=1,$J60,0))</f>
        <v/>
      </c>
      <c r="L60" s="25">
        <f>IF($G60="","",IF(IFERROR(INDEX(Parámetros!$D$54:$D$60,MATCH($C60,Parámetros!$A$54:$A$60,0)),0)=1,ROUND($I60*Parámetros!$B$16,0),0))</f>
        <v/>
      </c>
      <c r="M60" s="25">
        <f>IF($G60="","",$I60+$J60)</f>
        <v/>
      </c>
      <c r="N60" s="25">
        <f>IF($G60="","",$M60-$L60)</f>
        <v/>
      </c>
      <c r="O60" s="38" t="n"/>
      <c r="P60" s="38" t="n"/>
      <c r="Q60" s="37" t="n"/>
      <c r="R60" s="38" t="n"/>
      <c r="S60" s="40">
        <f>IF($A60="","",YEAR($A60))</f>
        <v/>
      </c>
      <c r="T60" s="40">
        <f>IF($A60="","",MONTH($A60))</f>
        <v/>
      </c>
      <c r="U60" s="40">
        <f>IF($Q60="","",YEAR($Q60))</f>
        <v/>
      </c>
      <c r="V60" s="40">
        <f>IF($Q60="","",MONTH($Q60))</f>
        <v/>
      </c>
    </row>
    <row r="61">
      <c r="A61" s="37" t="n"/>
      <c r="B61" s="38" t="n"/>
      <c r="C61" s="38" t="n"/>
      <c r="D61" s="38" t="n"/>
      <c r="E61" s="38" t="n"/>
      <c r="F61" s="38" t="n"/>
      <c r="G61" s="39" t="n"/>
      <c r="H61" s="38" t="n"/>
      <c r="I61" s="25">
        <f>IF($G61="","",IF(AND($H61="Sí",IFERROR(INDEX(Parámetros!$B$54:$B$60,MATCH($C61,Parámetros!$A$54:$A$60,0)),0)=1),ROUND($G61/(1+Parámetros!$B$13),0),$G61))</f>
        <v/>
      </c>
      <c r="J61" s="25">
        <f>IF($G61="","",IF(IFERROR(INDEX(Parámetros!$B$54:$B$60,MATCH($C61,Parámetros!$A$54:$A$60,0)),0)=1,ROUND($I61*Parámetros!$B$13,0),0))</f>
        <v/>
      </c>
      <c r="K61" s="25">
        <f>IF($G61="","",IF(IFERROR(INDEX(Parámetros!$C$54:$C$60,MATCH($C61,Parámetros!$A$54:$A$60,0)),0)=1,$J61,0))</f>
        <v/>
      </c>
      <c r="L61" s="25">
        <f>IF($G61="","",IF(IFERROR(INDEX(Parámetros!$D$54:$D$60,MATCH($C61,Parámetros!$A$54:$A$60,0)),0)=1,ROUND($I61*Parámetros!$B$16,0),0))</f>
        <v/>
      </c>
      <c r="M61" s="25">
        <f>IF($G61="","",$I61+$J61)</f>
        <v/>
      </c>
      <c r="N61" s="25">
        <f>IF($G61="","",$M61-$L61)</f>
        <v/>
      </c>
      <c r="O61" s="38" t="n"/>
      <c r="P61" s="38" t="n"/>
      <c r="Q61" s="37" t="n"/>
      <c r="R61" s="38" t="n"/>
      <c r="S61" s="40">
        <f>IF($A61="","",YEAR($A61))</f>
        <v/>
      </c>
      <c r="T61" s="40">
        <f>IF($A61="","",MONTH($A61))</f>
        <v/>
      </c>
      <c r="U61" s="40">
        <f>IF($Q61="","",YEAR($Q61))</f>
        <v/>
      </c>
      <c r="V61" s="40">
        <f>IF($Q61="","",MONTH($Q61))</f>
        <v/>
      </c>
    </row>
    <row r="62">
      <c r="A62" s="37" t="n"/>
      <c r="B62" s="38" t="n"/>
      <c r="C62" s="38" t="n"/>
      <c r="D62" s="38" t="n"/>
      <c r="E62" s="38" t="n"/>
      <c r="F62" s="38" t="n"/>
      <c r="G62" s="39" t="n"/>
      <c r="H62" s="38" t="n"/>
      <c r="I62" s="25">
        <f>IF($G62="","",IF(AND($H62="Sí",IFERROR(INDEX(Parámetros!$B$54:$B$60,MATCH($C62,Parámetros!$A$54:$A$60,0)),0)=1),ROUND($G62/(1+Parámetros!$B$13),0),$G62))</f>
        <v/>
      </c>
      <c r="J62" s="25">
        <f>IF($G62="","",IF(IFERROR(INDEX(Parámetros!$B$54:$B$60,MATCH($C62,Parámetros!$A$54:$A$60,0)),0)=1,ROUND($I62*Parámetros!$B$13,0),0))</f>
        <v/>
      </c>
      <c r="K62" s="25">
        <f>IF($G62="","",IF(IFERROR(INDEX(Parámetros!$C$54:$C$60,MATCH($C62,Parámetros!$A$54:$A$60,0)),0)=1,$J62,0))</f>
        <v/>
      </c>
      <c r="L62" s="25">
        <f>IF($G62="","",IF(IFERROR(INDEX(Parámetros!$D$54:$D$60,MATCH($C62,Parámetros!$A$54:$A$60,0)),0)=1,ROUND($I62*Parámetros!$B$16,0),0))</f>
        <v/>
      </c>
      <c r="M62" s="25">
        <f>IF($G62="","",$I62+$J62)</f>
        <v/>
      </c>
      <c r="N62" s="25">
        <f>IF($G62="","",$M62-$L62)</f>
        <v/>
      </c>
      <c r="O62" s="38" t="n"/>
      <c r="P62" s="38" t="n"/>
      <c r="Q62" s="37" t="n"/>
      <c r="R62" s="38" t="n"/>
      <c r="S62" s="40">
        <f>IF($A62="","",YEAR($A62))</f>
        <v/>
      </c>
      <c r="T62" s="40">
        <f>IF($A62="","",MONTH($A62))</f>
        <v/>
      </c>
      <c r="U62" s="40">
        <f>IF($Q62="","",YEAR($Q62))</f>
        <v/>
      </c>
      <c r="V62" s="40">
        <f>IF($Q62="","",MONTH($Q62))</f>
        <v/>
      </c>
    </row>
    <row r="63">
      <c r="A63" s="37" t="n"/>
      <c r="B63" s="38" t="n"/>
      <c r="C63" s="38" t="n"/>
      <c r="D63" s="38" t="n"/>
      <c r="E63" s="38" t="n"/>
      <c r="F63" s="38" t="n"/>
      <c r="G63" s="39" t="n"/>
      <c r="H63" s="38" t="n"/>
      <c r="I63" s="25">
        <f>IF($G63="","",IF(AND($H63="Sí",IFERROR(INDEX(Parámetros!$B$54:$B$60,MATCH($C63,Parámetros!$A$54:$A$60,0)),0)=1),ROUND($G63/(1+Parámetros!$B$13),0),$G63))</f>
        <v/>
      </c>
      <c r="J63" s="25">
        <f>IF($G63="","",IF(IFERROR(INDEX(Parámetros!$B$54:$B$60,MATCH($C63,Parámetros!$A$54:$A$60,0)),0)=1,ROUND($I63*Parámetros!$B$13,0),0))</f>
        <v/>
      </c>
      <c r="K63" s="25">
        <f>IF($G63="","",IF(IFERROR(INDEX(Parámetros!$C$54:$C$60,MATCH($C63,Parámetros!$A$54:$A$60,0)),0)=1,$J63,0))</f>
        <v/>
      </c>
      <c r="L63" s="25">
        <f>IF($G63="","",IF(IFERROR(INDEX(Parámetros!$D$54:$D$60,MATCH($C63,Parámetros!$A$54:$A$60,0)),0)=1,ROUND($I63*Parámetros!$B$16,0),0))</f>
        <v/>
      </c>
      <c r="M63" s="25">
        <f>IF($G63="","",$I63+$J63)</f>
        <v/>
      </c>
      <c r="N63" s="25">
        <f>IF($G63="","",$M63-$L63)</f>
        <v/>
      </c>
      <c r="O63" s="38" t="n"/>
      <c r="P63" s="38" t="n"/>
      <c r="Q63" s="37" t="n"/>
      <c r="R63" s="38" t="n"/>
      <c r="S63" s="40">
        <f>IF($A63="","",YEAR($A63))</f>
        <v/>
      </c>
      <c r="T63" s="40">
        <f>IF($A63="","",MONTH($A63))</f>
        <v/>
      </c>
      <c r="U63" s="40">
        <f>IF($Q63="","",YEAR($Q63))</f>
        <v/>
      </c>
      <c r="V63" s="40">
        <f>IF($Q63="","",MONTH($Q63))</f>
        <v/>
      </c>
    </row>
    <row r="64">
      <c r="A64" s="37" t="n"/>
      <c r="B64" s="38" t="n"/>
      <c r="C64" s="38" t="n"/>
      <c r="D64" s="38" t="n"/>
      <c r="E64" s="38" t="n"/>
      <c r="F64" s="38" t="n"/>
      <c r="G64" s="39" t="n"/>
      <c r="H64" s="38" t="n"/>
      <c r="I64" s="25">
        <f>IF($G64="","",IF(AND($H64="Sí",IFERROR(INDEX(Parámetros!$B$54:$B$60,MATCH($C64,Parámetros!$A$54:$A$60,0)),0)=1),ROUND($G64/(1+Parámetros!$B$13),0),$G64))</f>
        <v/>
      </c>
      <c r="J64" s="25">
        <f>IF($G64="","",IF(IFERROR(INDEX(Parámetros!$B$54:$B$60,MATCH($C64,Parámetros!$A$54:$A$60,0)),0)=1,ROUND($I64*Parámetros!$B$13,0),0))</f>
        <v/>
      </c>
      <c r="K64" s="25">
        <f>IF($G64="","",IF(IFERROR(INDEX(Parámetros!$C$54:$C$60,MATCH($C64,Parámetros!$A$54:$A$60,0)),0)=1,$J64,0))</f>
        <v/>
      </c>
      <c r="L64" s="25">
        <f>IF($G64="","",IF(IFERROR(INDEX(Parámetros!$D$54:$D$60,MATCH($C64,Parámetros!$A$54:$A$60,0)),0)=1,ROUND($I64*Parámetros!$B$16,0),0))</f>
        <v/>
      </c>
      <c r="M64" s="25">
        <f>IF($G64="","",$I64+$J64)</f>
        <v/>
      </c>
      <c r="N64" s="25">
        <f>IF($G64="","",$M64-$L64)</f>
        <v/>
      </c>
      <c r="O64" s="38" t="n"/>
      <c r="P64" s="38" t="n"/>
      <c r="Q64" s="37" t="n"/>
      <c r="R64" s="38" t="n"/>
      <c r="S64" s="40">
        <f>IF($A64="","",YEAR($A64))</f>
        <v/>
      </c>
      <c r="T64" s="40">
        <f>IF($A64="","",MONTH($A64))</f>
        <v/>
      </c>
      <c r="U64" s="40">
        <f>IF($Q64="","",YEAR($Q64))</f>
        <v/>
      </c>
      <c r="V64" s="40">
        <f>IF($Q64="","",MONTH($Q64))</f>
        <v/>
      </c>
    </row>
    <row r="65">
      <c r="A65" s="37" t="n"/>
      <c r="B65" s="38" t="n"/>
      <c r="C65" s="38" t="n"/>
      <c r="D65" s="38" t="n"/>
      <c r="E65" s="38" t="n"/>
      <c r="F65" s="38" t="n"/>
      <c r="G65" s="39" t="n"/>
      <c r="H65" s="38" t="n"/>
      <c r="I65" s="25">
        <f>IF($G65="","",IF(AND($H65="Sí",IFERROR(INDEX(Parámetros!$B$54:$B$60,MATCH($C65,Parámetros!$A$54:$A$60,0)),0)=1),ROUND($G65/(1+Parámetros!$B$13),0),$G65))</f>
        <v/>
      </c>
      <c r="J65" s="25">
        <f>IF($G65="","",IF(IFERROR(INDEX(Parámetros!$B$54:$B$60,MATCH($C65,Parámetros!$A$54:$A$60,0)),0)=1,ROUND($I65*Parámetros!$B$13,0),0))</f>
        <v/>
      </c>
      <c r="K65" s="25">
        <f>IF($G65="","",IF(IFERROR(INDEX(Parámetros!$C$54:$C$60,MATCH($C65,Parámetros!$A$54:$A$60,0)),0)=1,$J65,0))</f>
        <v/>
      </c>
      <c r="L65" s="25">
        <f>IF($G65="","",IF(IFERROR(INDEX(Parámetros!$D$54:$D$60,MATCH($C65,Parámetros!$A$54:$A$60,0)),0)=1,ROUND($I65*Parámetros!$B$16,0),0))</f>
        <v/>
      </c>
      <c r="M65" s="25">
        <f>IF($G65="","",$I65+$J65)</f>
        <v/>
      </c>
      <c r="N65" s="25">
        <f>IF($G65="","",$M65-$L65)</f>
        <v/>
      </c>
      <c r="O65" s="38" t="n"/>
      <c r="P65" s="38" t="n"/>
      <c r="Q65" s="37" t="n"/>
      <c r="R65" s="38" t="n"/>
      <c r="S65" s="40">
        <f>IF($A65="","",YEAR($A65))</f>
        <v/>
      </c>
      <c r="T65" s="40">
        <f>IF($A65="","",MONTH($A65))</f>
        <v/>
      </c>
      <c r="U65" s="40">
        <f>IF($Q65="","",YEAR($Q65))</f>
        <v/>
      </c>
      <c r="V65" s="40">
        <f>IF($Q65="","",MONTH($Q65))</f>
        <v/>
      </c>
    </row>
    <row r="66">
      <c r="A66" s="37" t="n"/>
      <c r="B66" s="38" t="n"/>
      <c r="C66" s="38" t="n"/>
      <c r="D66" s="38" t="n"/>
      <c r="E66" s="38" t="n"/>
      <c r="F66" s="38" t="n"/>
      <c r="G66" s="39" t="n"/>
      <c r="H66" s="38" t="n"/>
      <c r="I66" s="25">
        <f>IF($G66="","",IF(AND($H66="Sí",IFERROR(INDEX(Parámetros!$B$54:$B$60,MATCH($C66,Parámetros!$A$54:$A$60,0)),0)=1),ROUND($G66/(1+Parámetros!$B$13),0),$G66))</f>
        <v/>
      </c>
      <c r="J66" s="25">
        <f>IF($G66="","",IF(IFERROR(INDEX(Parámetros!$B$54:$B$60,MATCH($C66,Parámetros!$A$54:$A$60,0)),0)=1,ROUND($I66*Parámetros!$B$13,0),0))</f>
        <v/>
      </c>
      <c r="K66" s="25">
        <f>IF($G66="","",IF(IFERROR(INDEX(Parámetros!$C$54:$C$60,MATCH($C66,Parámetros!$A$54:$A$60,0)),0)=1,$J66,0))</f>
        <v/>
      </c>
      <c r="L66" s="25">
        <f>IF($G66="","",IF(IFERROR(INDEX(Parámetros!$D$54:$D$60,MATCH($C66,Parámetros!$A$54:$A$60,0)),0)=1,ROUND($I66*Parámetros!$B$16,0),0))</f>
        <v/>
      </c>
      <c r="M66" s="25">
        <f>IF($G66="","",$I66+$J66)</f>
        <v/>
      </c>
      <c r="N66" s="25">
        <f>IF($G66="","",$M66-$L66)</f>
        <v/>
      </c>
      <c r="O66" s="38" t="n"/>
      <c r="P66" s="38" t="n"/>
      <c r="Q66" s="37" t="n"/>
      <c r="R66" s="38" t="n"/>
      <c r="S66" s="40">
        <f>IF($A66="","",YEAR($A66))</f>
        <v/>
      </c>
      <c r="T66" s="40">
        <f>IF($A66="","",MONTH($A66))</f>
        <v/>
      </c>
      <c r="U66" s="40">
        <f>IF($Q66="","",YEAR($Q66))</f>
        <v/>
      </c>
      <c r="V66" s="40">
        <f>IF($Q66="","",MONTH($Q66))</f>
        <v/>
      </c>
    </row>
    <row r="67">
      <c r="A67" s="37" t="n"/>
      <c r="B67" s="38" t="n"/>
      <c r="C67" s="38" t="n"/>
      <c r="D67" s="38" t="n"/>
      <c r="E67" s="38" t="n"/>
      <c r="F67" s="38" t="n"/>
      <c r="G67" s="39" t="n"/>
      <c r="H67" s="38" t="n"/>
      <c r="I67" s="25">
        <f>IF($G67="","",IF(AND($H67="Sí",IFERROR(INDEX(Parámetros!$B$54:$B$60,MATCH($C67,Parámetros!$A$54:$A$60,0)),0)=1),ROUND($G67/(1+Parámetros!$B$13),0),$G67))</f>
        <v/>
      </c>
      <c r="J67" s="25">
        <f>IF($G67="","",IF(IFERROR(INDEX(Parámetros!$B$54:$B$60,MATCH($C67,Parámetros!$A$54:$A$60,0)),0)=1,ROUND($I67*Parámetros!$B$13,0),0))</f>
        <v/>
      </c>
      <c r="K67" s="25">
        <f>IF($G67="","",IF(IFERROR(INDEX(Parámetros!$C$54:$C$60,MATCH($C67,Parámetros!$A$54:$A$60,0)),0)=1,$J67,0))</f>
        <v/>
      </c>
      <c r="L67" s="25">
        <f>IF($G67="","",IF(IFERROR(INDEX(Parámetros!$D$54:$D$60,MATCH($C67,Parámetros!$A$54:$A$60,0)),0)=1,ROUND($I67*Parámetros!$B$16,0),0))</f>
        <v/>
      </c>
      <c r="M67" s="25">
        <f>IF($G67="","",$I67+$J67)</f>
        <v/>
      </c>
      <c r="N67" s="25">
        <f>IF($G67="","",$M67-$L67)</f>
        <v/>
      </c>
      <c r="O67" s="38" t="n"/>
      <c r="P67" s="38" t="n"/>
      <c r="Q67" s="37" t="n"/>
      <c r="R67" s="38" t="n"/>
      <c r="S67" s="40">
        <f>IF($A67="","",YEAR($A67))</f>
        <v/>
      </c>
      <c r="T67" s="40">
        <f>IF($A67="","",MONTH($A67))</f>
        <v/>
      </c>
      <c r="U67" s="40">
        <f>IF($Q67="","",YEAR($Q67))</f>
        <v/>
      </c>
      <c r="V67" s="40">
        <f>IF($Q67="","",MONTH($Q67))</f>
        <v/>
      </c>
    </row>
    <row r="68">
      <c r="A68" s="37" t="n"/>
      <c r="B68" s="38" t="n"/>
      <c r="C68" s="38" t="n"/>
      <c r="D68" s="38" t="n"/>
      <c r="E68" s="38" t="n"/>
      <c r="F68" s="38" t="n"/>
      <c r="G68" s="39" t="n"/>
      <c r="H68" s="38" t="n"/>
      <c r="I68" s="25">
        <f>IF($G68="","",IF(AND($H68="Sí",IFERROR(INDEX(Parámetros!$B$54:$B$60,MATCH($C68,Parámetros!$A$54:$A$60,0)),0)=1),ROUND($G68/(1+Parámetros!$B$13),0),$G68))</f>
        <v/>
      </c>
      <c r="J68" s="25">
        <f>IF($G68="","",IF(IFERROR(INDEX(Parámetros!$B$54:$B$60,MATCH($C68,Parámetros!$A$54:$A$60,0)),0)=1,ROUND($I68*Parámetros!$B$13,0),0))</f>
        <v/>
      </c>
      <c r="K68" s="25">
        <f>IF($G68="","",IF(IFERROR(INDEX(Parámetros!$C$54:$C$60,MATCH($C68,Parámetros!$A$54:$A$60,0)),0)=1,$J68,0))</f>
        <v/>
      </c>
      <c r="L68" s="25">
        <f>IF($G68="","",IF(IFERROR(INDEX(Parámetros!$D$54:$D$60,MATCH($C68,Parámetros!$A$54:$A$60,0)),0)=1,ROUND($I68*Parámetros!$B$16,0),0))</f>
        <v/>
      </c>
      <c r="M68" s="25">
        <f>IF($G68="","",$I68+$J68)</f>
        <v/>
      </c>
      <c r="N68" s="25">
        <f>IF($G68="","",$M68-$L68)</f>
        <v/>
      </c>
      <c r="O68" s="38" t="n"/>
      <c r="P68" s="38" t="n"/>
      <c r="Q68" s="37" t="n"/>
      <c r="R68" s="38" t="n"/>
      <c r="S68" s="40">
        <f>IF($A68="","",YEAR($A68))</f>
        <v/>
      </c>
      <c r="T68" s="40">
        <f>IF($A68="","",MONTH($A68))</f>
        <v/>
      </c>
      <c r="U68" s="40">
        <f>IF($Q68="","",YEAR($Q68))</f>
        <v/>
      </c>
      <c r="V68" s="40">
        <f>IF($Q68="","",MONTH($Q68))</f>
        <v/>
      </c>
    </row>
    <row r="69">
      <c r="A69" s="37" t="n"/>
      <c r="B69" s="38" t="n"/>
      <c r="C69" s="38" t="n"/>
      <c r="D69" s="38" t="n"/>
      <c r="E69" s="38" t="n"/>
      <c r="F69" s="38" t="n"/>
      <c r="G69" s="39" t="n"/>
      <c r="H69" s="38" t="n"/>
      <c r="I69" s="25">
        <f>IF($G69="","",IF(AND($H69="Sí",IFERROR(INDEX(Parámetros!$B$54:$B$60,MATCH($C69,Parámetros!$A$54:$A$60,0)),0)=1),ROUND($G69/(1+Parámetros!$B$13),0),$G69))</f>
        <v/>
      </c>
      <c r="J69" s="25">
        <f>IF($G69="","",IF(IFERROR(INDEX(Parámetros!$B$54:$B$60,MATCH($C69,Parámetros!$A$54:$A$60,0)),0)=1,ROUND($I69*Parámetros!$B$13,0),0))</f>
        <v/>
      </c>
      <c r="K69" s="25">
        <f>IF($G69="","",IF(IFERROR(INDEX(Parámetros!$C$54:$C$60,MATCH($C69,Parámetros!$A$54:$A$60,0)),0)=1,$J69,0))</f>
        <v/>
      </c>
      <c r="L69" s="25">
        <f>IF($G69="","",IF(IFERROR(INDEX(Parámetros!$D$54:$D$60,MATCH($C69,Parámetros!$A$54:$A$60,0)),0)=1,ROUND($I69*Parámetros!$B$16,0),0))</f>
        <v/>
      </c>
      <c r="M69" s="25">
        <f>IF($G69="","",$I69+$J69)</f>
        <v/>
      </c>
      <c r="N69" s="25">
        <f>IF($G69="","",$M69-$L69)</f>
        <v/>
      </c>
      <c r="O69" s="38" t="n"/>
      <c r="P69" s="38" t="n"/>
      <c r="Q69" s="37" t="n"/>
      <c r="R69" s="38" t="n"/>
      <c r="S69" s="40">
        <f>IF($A69="","",YEAR($A69))</f>
        <v/>
      </c>
      <c r="T69" s="40">
        <f>IF($A69="","",MONTH($A69))</f>
        <v/>
      </c>
      <c r="U69" s="40">
        <f>IF($Q69="","",YEAR($Q69))</f>
        <v/>
      </c>
      <c r="V69" s="40">
        <f>IF($Q69="","",MONTH($Q69))</f>
        <v/>
      </c>
    </row>
    <row r="70">
      <c r="A70" s="37" t="n"/>
      <c r="B70" s="38" t="n"/>
      <c r="C70" s="38" t="n"/>
      <c r="D70" s="38" t="n"/>
      <c r="E70" s="38" t="n"/>
      <c r="F70" s="38" t="n"/>
      <c r="G70" s="39" t="n"/>
      <c r="H70" s="38" t="n"/>
      <c r="I70" s="25">
        <f>IF($G70="","",IF(AND($H70="Sí",IFERROR(INDEX(Parámetros!$B$54:$B$60,MATCH($C70,Parámetros!$A$54:$A$60,0)),0)=1),ROUND($G70/(1+Parámetros!$B$13),0),$G70))</f>
        <v/>
      </c>
      <c r="J70" s="25">
        <f>IF($G70="","",IF(IFERROR(INDEX(Parámetros!$B$54:$B$60,MATCH($C70,Parámetros!$A$54:$A$60,0)),0)=1,ROUND($I70*Parámetros!$B$13,0),0))</f>
        <v/>
      </c>
      <c r="K70" s="25">
        <f>IF($G70="","",IF(IFERROR(INDEX(Parámetros!$C$54:$C$60,MATCH($C70,Parámetros!$A$54:$A$60,0)),0)=1,$J70,0))</f>
        <v/>
      </c>
      <c r="L70" s="25">
        <f>IF($G70="","",IF(IFERROR(INDEX(Parámetros!$D$54:$D$60,MATCH($C70,Parámetros!$A$54:$A$60,0)),0)=1,ROUND($I70*Parámetros!$B$16,0),0))</f>
        <v/>
      </c>
      <c r="M70" s="25">
        <f>IF($G70="","",$I70+$J70)</f>
        <v/>
      </c>
      <c r="N70" s="25">
        <f>IF($G70="","",$M70-$L70)</f>
        <v/>
      </c>
      <c r="O70" s="38" t="n"/>
      <c r="P70" s="38" t="n"/>
      <c r="Q70" s="37" t="n"/>
      <c r="R70" s="38" t="n"/>
      <c r="S70" s="40">
        <f>IF($A70="","",YEAR($A70))</f>
        <v/>
      </c>
      <c r="T70" s="40">
        <f>IF($A70="","",MONTH($A70))</f>
        <v/>
      </c>
      <c r="U70" s="40">
        <f>IF($Q70="","",YEAR($Q70))</f>
        <v/>
      </c>
      <c r="V70" s="40">
        <f>IF($Q70="","",MONTH($Q70))</f>
        <v/>
      </c>
    </row>
    <row r="71">
      <c r="A71" s="37" t="n"/>
      <c r="B71" s="38" t="n"/>
      <c r="C71" s="38" t="n"/>
      <c r="D71" s="38" t="n"/>
      <c r="E71" s="38" t="n"/>
      <c r="F71" s="38" t="n"/>
      <c r="G71" s="39" t="n"/>
      <c r="H71" s="38" t="n"/>
      <c r="I71" s="25">
        <f>IF($G71="","",IF(AND($H71="Sí",IFERROR(INDEX(Parámetros!$B$54:$B$60,MATCH($C71,Parámetros!$A$54:$A$60,0)),0)=1),ROUND($G71/(1+Parámetros!$B$13),0),$G71))</f>
        <v/>
      </c>
      <c r="J71" s="25">
        <f>IF($G71="","",IF(IFERROR(INDEX(Parámetros!$B$54:$B$60,MATCH($C71,Parámetros!$A$54:$A$60,0)),0)=1,ROUND($I71*Parámetros!$B$13,0),0))</f>
        <v/>
      </c>
      <c r="K71" s="25">
        <f>IF($G71="","",IF(IFERROR(INDEX(Parámetros!$C$54:$C$60,MATCH($C71,Parámetros!$A$54:$A$60,0)),0)=1,$J71,0))</f>
        <v/>
      </c>
      <c r="L71" s="25">
        <f>IF($G71="","",IF(IFERROR(INDEX(Parámetros!$D$54:$D$60,MATCH($C71,Parámetros!$A$54:$A$60,0)),0)=1,ROUND($I71*Parámetros!$B$16,0),0))</f>
        <v/>
      </c>
      <c r="M71" s="25">
        <f>IF($G71="","",$I71+$J71)</f>
        <v/>
      </c>
      <c r="N71" s="25">
        <f>IF($G71="","",$M71-$L71)</f>
        <v/>
      </c>
      <c r="O71" s="38" t="n"/>
      <c r="P71" s="38" t="n"/>
      <c r="Q71" s="37" t="n"/>
      <c r="R71" s="38" t="n"/>
      <c r="S71" s="40">
        <f>IF($A71="","",YEAR($A71))</f>
        <v/>
      </c>
      <c r="T71" s="40">
        <f>IF($A71="","",MONTH($A71))</f>
        <v/>
      </c>
      <c r="U71" s="40">
        <f>IF($Q71="","",YEAR($Q71))</f>
        <v/>
      </c>
      <c r="V71" s="40">
        <f>IF($Q71="","",MONTH($Q71))</f>
        <v/>
      </c>
    </row>
    <row r="72">
      <c r="A72" s="37" t="n"/>
      <c r="B72" s="38" t="n"/>
      <c r="C72" s="38" t="n"/>
      <c r="D72" s="38" t="n"/>
      <c r="E72" s="38" t="n"/>
      <c r="F72" s="38" t="n"/>
      <c r="G72" s="39" t="n"/>
      <c r="H72" s="38" t="n"/>
      <c r="I72" s="25">
        <f>IF($G72="","",IF(AND($H72="Sí",IFERROR(INDEX(Parámetros!$B$54:$B$60,MATCH($C72,Parámetros!$A$54:$A$60,0)),0)=1),ROUND($G72/(1+Parámetros!$B$13),0),$G72))</f>
        <v/>
      </c>
      <c r="J72" s="25">
        <f>IF($G72="","",IF(IFERROR(INDEX(Parámetros!$B$54:$B$60,MATCH($C72,Parámetros!$A$54:$A$60,0)),0)=1,ROUND($I72*Parámetros!$B$13,0),0))</f>
        <v/>
      </c>
      <c r="K72" s="25">
        <f>IF($G72="","",IF(IFERROR(INDEX(Parámetros!$C$54:$C$60,MATCH($C72,Parámetros!$A$54:$A$60,0)),0)=1,$J72,0))</f>
        <v/>
      </c>
      <c r="L72" s="25">
        <f>IF($G72="","",IF(IFERROR(INDEX(Parámetros!$D$54:$D$60,MATCH($C72,Parámetros!$A$54:$A$60,0)),0)=1,ROUND($I72*Parámetros!$B$16,0),0))</f>
        <v/>
      </c>
      <c r="M72" s="25">
        <f>IF($G72="","",$I72+$J72)</f>
        <v/>
      </c>
      <c r="N72" s="25">
        <f>IF($G72="","",$M72-$L72)</f>
        <v/>
      </c>
      <c r="O72" s="38" t="n"/>
      <c r="P72" s="38" t="n"/>
      <c r="Q72" s="37" t="n"/>
      <c r="R72" s="38" t="n"/>
      <c r="S72" s="40">
        <f>IF($A72="","",YEAR($A72))</f>
        <v/>
      </c>
      <c r="T72" s="40">
        <f>IF($A72="","",MONTH($A72))</f>
        <v/>
      </c>
      <c r="U72" s="40">
        <f>IF($Q72="","",YEAR($Q72))</f>
        <v/>
      </c>
      <c r="V72" s="40">
        <f>IF($Q72="","",MONTH($Q72))</f>
        <v/>
      </c>
    </row>
    <row r="73">
      <c r="A73" s="37" t="n"/>
      <c r="B73" s="38" t="n"/>
      <c r="C73" s="38" t="n"/>
      <c r="D73" s="38" t="n"/>
      <c r="E73" s="38" t="n"/>
      <c r="F73" s="38" t="n"/>
      <c r="G73" s="39" t="n"/>
      <c r="H73" s="38" t="n"/>
      <c r="I73" s="25">
        <f>IF($G73="","",IF(AND($H73="Sí",IFERROR(INDEX(Parámetros!$B$54:$B$60,MATCH($C73,Parámetros!$A$54:$A$60,0)),0)=1),ROUND($G73/(1+Parámetros!$B$13),0),$G73))</f>
        <v/>
      </c>
      <c r="J73" s="25">
        <f>IF($G73="","",IF(IFERROR(INDEX(Parámetros!$B$54:$B$60,MATCH($C73,Parámetros!$A$54:$A$60,0)),0)=1,ROUND($I73*Parámetros!$B$13,0),0))</f>
        <v/>
      </c>
      <c r="K73" s="25">
        <f>IF($G73="","",IF(IFERROR(INDEX(Parámetros!$C$54:$C$60,MATCH($C73,Parámetros!$A$54:$A$60,0)),0)=1,$J73,0))</f>
        <v/>
      </c>
      <c r="L73" s="25">
        <f>IF($G73="","",IF(IFERROR(INDEX(Parámetros!$D$54:$D$60,MATCH($C73,Parámetros!$A$54:$A$60,0)),0)=1,ROUND($I73*Parámetros!$B$16,0),0))</f>
        <v/>
      </c>
      <c r="M73" s="25">
        <f>IF($G73="","",$I73+$J73)</f>
        <v/>
      </c>
      <c r="N73" s="25">
        <f>IF($G73="","",$M73-$L73)</f>
        <v/>
      </c>
      <c r="O73" s="38" t="n"/>
      <c r="P73" s="38" t="n"/>
      <c r="Q73" s="37" t="n"/>
      <c r="R73" s="38" t="n"/>
      <c r="S73" s="40">
        <f>IF($A73="","",YEAR($A73))</f>
        <v/>
      </c>
      <c r="T73" s="40">
        <f>IF($A73="","",MONTH($A73))</f>
        <v/>
      </c>
      <c r="U73" s="40">
        <f>IF($Q73="","",YEAR($Q73))</f>
        <v/>
      </c>
      <c r="V73" s="40">
        <f>IF($Q73="","",MONTH($Q73))</f>
        <v/>
      </c>
    </row>
    <row r="74">
      <c r="A74" s="37" t="n"/>
      <c r="B74" s="38" t="n"/>
      <c r="C74" s="38" t="n"/>
      <c r="D74" s="38" t="n"/>
      <c r="E74" s="38" t="n"/>
      <c r="F74" s="38" t="n"/>
      <c r="G74" s="39" t="n"/>
      <c r="H74" s="38" t="n"/>
      <c r="I74" s="25">
        <f>IF($G74="","",IF(AND($H74="Sí",IFERROR(INDEX(Parámetros!$B$54:$B$60,MATCH($C74,Parámetros!$A$54:$A$60,0)),0)=1),ROUND($G74/(1+Parámetros!$B$13),0),$G74))</f>
        <v/>
      </c>
      <c r="J74" s="25">
        <f>IF($G74="","",IF(IFERROR(INDEX(Parámetros!$B$54:$B$60,MATCH($C74,Parámetros!$A$54:$A$60,0)),0)=1,ROUND($I74*Parámetros!$B$13,0),0))</f>
        <v/>
      </c>
      <c r="K74" s="25">
        <f>IF($G74="","",IF(IFERROR(INDEX(Parámetros!$C$54:$C$60,MATCH($C74,Parámetros!$A$54:$A$60,0)),0)=1,$J74,0))</f>
        <v/>
      </c>
      <c r="L74" s="25">
        <f>IF($G74="","",IF(IFERROR(INDEX(Parámetros!$D$54:$D$60,MATCH($C74,Parámetros!$A$54:$A$60,0)),0)=1,ROUND($I74*Parámetros!$B$16,0),0))</f>
        <v/>
      </c>
      <c r="M74" s="25">
        <f>IF($G74="","",$I74+$J74)</f>
        <v/>
      </c>
      <c r="N74" s="25">
        <f>IF($G74="","",$M74-$L74)</f>
        <v/>
      </c>
      <c r="O74" s="38" t="n"/>
      <c r="P74" s="38" t="n"/>
      <c r="Q74" s="37" t="n"/>
      <c r="R74" s="38" t="n"/>
      <c r="S74" s="40">
        <f>IF($A74="","",YEAR($A74))</f>
        <v/>
      </c>
      <c r="T74" s="40">
        <f>IF($A74="","",MONTH($A74))</f>
        <v/>
      </c>
      <c r="U74" s="40">
        <f>IF($Q74="","",YEAR($Q74))</f>
        <v/>
      </c>
      <c r="V74" s="40">
        <f>IF($Q74="","",MONTH($Q74))</f>
        <v/>
      </c>
    </row>
    <row r="75">
      <c r="A75" s="37" t="n"/>
      <c r="B75" s="38" t="n"/>
      <c r="C75" s="38" t="n"/>
      <c r="D75" s="38" t="n"/>
      <c r="E75" s="38" t="n"/>
      <c r="F75" s="38" t="n"/>
      <c r="G75" s="39" t="n"/>
      <c r="H75" s="38" t="n"/>
      <c r="I75" s="25">
        <f>IF($G75="","",IF(AND($H75="Sí",IFERROR(INDEX(Parámetros!$B$54:$B$60,MATCH($C75,Parámetros!$A$54:$A$60,0)),0)=1),ROUND($G75/(1+Parámetros!$B$13),0),$G75))</f>
        <v/>
      </c>
      <c r="J75" s="25">
        <f>IF($G75="","",IF(IFERROR(INDEX(Parámetros!$B$54:$B$60,MATCH($C75,Parámetros!$A$54:$A$60,0)),0)=1,ROUND($I75*Parámetros!$B$13,0),0))</f>
        <v/>
      </c>
      <c r="K75" s="25">
        <f>IF($G75="","",IF(IFERROR(INDEX(Parámetros!$C$54:$C$60,MATCH($C75,Parámetros!$A$54:$A$60,0)),0)=1,$J75,0))</f>
        <v/>
      </c>
      <c r="L75" s="25">
        <f>IF($G75="","",IF(IFERROR(INDEX(Parámetros!$D$54:$D$60,MATCH($C75,Parámetros!$A$54:$A$60,0)),0)=1,ROUND($I75*Parámetros!$B$16,0),0))</f>
        <v/>
      </c>
      <c r="M75" s="25">
        <f>IF($G75="","",$I75+$J75)</f>
        <v/>
      </c>
      <c r="N75" s="25">
        <f>IF($G75="","",$M75-$L75)</f>
        <v/>
      </c>
      <c r="O75" s="38" t="n"/>
      <c r="P75" s="38" t="n"/>
      <c r="Q75" s="37" t="n"/>
      <c r="R75" s="38" t="n"/>
      <c r="S75" s="40">
        <f>IF($A75="","",YEAR($A75))</f>
        <v/>
      </c>
      <c r="T75" s="40">
        <f>IF($A75="","",MONTH($A75))</f>
        <v/>
      </c>
      <c r="U75" s="40">
        <f>IF($Q75="","",YEAR($Q75))</f>
        <v/>
      </c>
      <c r="V75" s="40">
        <f>IF($Q75="","",MONTH($Q75))</f>
        <v/>
      </c>
    </row>
    <row r="76">
      <c r="A76" s="37" t="n"/>
      <c r="B76" s="38" t="n"/>
      <c r="C76" s="38" t="n"/>
      <c r="D76" s="38" t="n"/>
      <c r="E76" s="38" t="n"/>
      <c r="F76" s="38" t="n"/>
      <c r="G76" s="39" t="n"/>
      <c r="H76" s="38" t="n"/>
      <c r="I76" s="25">
        <f>IF($G76="","",IF(AND($H76="Sí",IFERROR(INDEX(Parámetros!$B$54:$B$60,MATCH($C76,Parámetros!$A$54:$A$60,0)),0)=1),ROUND($G76/(1+Parámetros!$B$13),0),$G76))</f>
        <v/>
      </c>
      <c r="J76" s="25">
        <f>IF($G76="","",IF(IFERROR(INDEX(Parámetros!$B$54:$B$60,MATCH($C76,Parámetros!$A$54:$A$60,0)),0)=1,ROUND($I76*Parámetros!$B$13,0),0))</f>
        <v/>
      </c>
      <c r="K76" s="25">
        <f>IF($G76="","",IF(IFERROR(INDEX(Parámetros!$C$54:$C$60,MATCH($C76,Parámetros!$A$54:$A$60,0)),0)=1,$J76,0))</f>
        <v/>
      </c>
      <c r="L76" s="25">
        <f>IF($G76="","",IF(IFERROR(INDEX(Parámetros!$D$54:$D$60,MATCH($C76,Parámetros!$A$54:$A$60,0)),0)=1,ROUND($I76*Parámetros!$B$16,0),0))</f>
        <v/>
      </c>
      <c r="M76" s="25">
        <f>IF($G76="","",$I76+$J76)</f>
        <v/>
      </c>
      <c r="N76" s="25">
        <f>IF($G76="","",$M76-$L76)</f>
        <v/>
      </c>
      <c r="O76" s="38" t="n"/>
      <c r="P76" s="38" t="n"/>
      <c r="Q76" s="37" t="n"/>
      <c r="R76" s="38" t="n"/>
      <c r="S76" s="40">
        <f>IF($A76="","",YEAR($A76))</f>
        <v/>
      </c>
      <c r="T76" s="40">
        <f>IF($A76="","",MONTH($A76))</f>
        <v/>
      </c>
      <c r="U76" s="40">
        <f>IF($Q76="","",YEAR($Q76))</f>
        <v/>
      </c>
      <c r="V76" s="40">
        <f>IF($Q76="","",MONTH($Q76))</f>
        <v/>
      </c>
    </row>
    <row r="77">
      <c r="A77" s="37" t="n"/>
      <c r="B77" s="38" t="n"/>
      <c r="C77" s="38" t="n"/>
      <c r="D77" s="38" t="n"/>
      <c r="E77" s="38" t="n"/>
      <c r="F77" s="38" t="n"/>
      <c r="G77" s="39" t="n"/>
      <c r="H77" s="38" t="n"/>
      <c r="I77" s="25">
        <f>IF($G77="","",IF(AND($H77="Sí",IFERROR(INDEX(Parámetros!$B$54:$B$60,MATCH($C77,Parámetros!$A$54:$A$60,0)),0)=1),ROUND($G77/(1+Parámetros!$B$13),0),$G77))</f>
        <v/>
      </c>
      <c r="J77" s="25">
        <f>IF($G77="","",IF(IFERROR(INDEX(Parámetros!$B$54:$B$60,MATCH($C77,Parámetros!$A$54:$A$60,0)),0)=1,ROUND($I77*Parámetros!$B$13,0),0))</f>
        <v/>
      </c>
      <c r="K77" s="25">
        <f>IF($G77="","",IF(IFERROR(INDEX(Parámetros!$C$54:$C$60,MATCH($C77,Parámetros!$A$54:$A$60,0)),0)=1,$J77,0))</f>
        <v/>
      </c>
      <c r="L77" s="25">
        <f>IF($G77="","",IF(IFERROR(INDEX(Parámetros!$D$54:$D$60,MATCH($C77,Parámetros!$A$54:$A$60,0)),0)=1,ROUND($I77*Parámetros!$B$16,0),0))</f>
        <v/>
      </c>
      <c r="M77" s="25">
        <f>IF($G77="","",$I77+$J77)</f>
        <v/>
      </c>
      <c r="N77" s="25">
        <f>IF($G77="","",$M77-$L77)</f>
        <v/>
      </c>
      <c r="O77" s="38" t="n"/>
      <c r="P77" s="38" t="n"/>
      <c r="Q77" s="37" t="n"/>
      <c r="R77" s="38" t="n"/>
      <c r="S77" s="40">
        <f>IF($A77="","",YEAR($A77))</f>
        <v/>
      </c>
      <c r="T77" s="40">
        <f>IF($A77="","",MONTH($A77))</f>
        <v/>
      </c>
      <c r="U77" s="40">
        <f>IF($Q77="","",YEAR($Q77))</f>
        <v/>
      </c>
      <c r="V77" s="40">
        <f>IF($Q77="","",MONTH($Q77))</f>
        <v/>
      </c>
    </row>
    <row r="78">
      <c r="A78" s="37" t="n"/>
      <c r="B78" s="38" t="n"/>
      <c r="C78" s="38" t="n"/>
      <c r="D78" s="38" t="n"/>
      <c r="E78" s="38" t="n"/>
      <c r="F78" s="38" t="n"/>
      <c r="G78" s="39" t="n"/>
      <c r="H78" s="38" t="n"/>
      <c r="I78" s="25">
        <f>IF($G78="","",IF(AND($H78="Sí",IFERROR(INDEX(Parámetros!$B$54:$B$60,MATCH($C78,Parámetros!$A$54:$A$60,0)),0)=1),ROUND($G78/(1+Parámetros!$B$13),0),$G78))</f>
        <v/>
      </c>
      <c r="J78" s="25">
        <f>IF($G78="","",IF(IFERROR(INDEX(Parámetros!$B$54:$B$60,MATCH($C78,Parámetros!$A$54:$A$60,0)),0)=1,ROUND($I78*Parámetros!$B$13,0),0))</f>
        <v/>
      </c>
      <c r="K78" s="25">
        <f>IF($G78="","",IF(IFERROR(INDEX(Parámetros!$C$54:$C$60,MATCH($C78,Parámetros!$A$54:$A$60,0)),0)=1,$J78,0))</f>
        <v/>
      </c>
      <c r="L78" s="25">
        <f>IF($G78="","",IF(IFERROR(INDEX(Parámetros!$D$54:$D$60,MATCH($C78,Parámetros!$A$54:$A$60,0)),0)=1,ROUND($I78*Parámetros!$B$16,0),0))</f>
        <v/>
      </c>
      <c r="M78" s="25">
        <f>IF($G78="","",$I78+$J78)</f>
        <v/>
      </c>
      <c r="N78" s="25">
        <f>IF($G78="","",$M78-$L78)</f>
        <v/>
      </c>
      <c r="O78" s="38" t="n"/>
      <c r="P78" s="38" t="n"/>
      <c r="Q78" s="37" t="n"/>
      <c r="R78" s="38" t="n"/>
      <c r="S78" s="40">
        <f>IF($A78="","",YEAR($A78))</f>
        <v/>
      </c>
      <c r="T78" s="40">
        <f>IF($A78="","",MONTH($A78))</f>
        <v/>
      </c>
      <c r="U78" s="40">
        <f>IF($Q78="","",YEAR($Q78))</f>
        <v/>
      </c>
      <c r="V78" s="40">
        <f>IF($Q78="","",MONTH($Q78))</f>
        <v/>
      </c>
    </row>
    <row r="79">
      <c r="A79" s="37" t="n"/>
      <c r="B79" s="38" t="n"/>
      <c r="C79" s="38" t="n"/>
      <c r="D79" s="38" t="n"/>
      <c r="E79" s="38" t="n"/>
      <c r="F79" s="38" t="n"/>
      <c r="G79" s="39" t="n"/>
      <c r="H79" s="38" t="n"/>
      <c r="I79" s="25">
        <f>IF($G79="","",IF(AND($H79="Sí",IFERROR(INDEX(Parámetros!$B$54:$B$60,MATCH($C79,Parámetros!$A$54:$A$60,0)),0)=1),ROUND($G79/(1+Parámetros!$B$13),0),$G79))</f>
        <v/>
      </c>
      <c r="J79" s="25">
        <f>IF($G79="","",IF(IFERROR(INDEX(Parámetros!$B$54:$B$60,MATCH($C79,Parámetros!$A$54:$A$60,0)),0)=1,ROUND($I79*Parámetros!$B$13,0),0))</f>
        <v/>
      </c>
      <c r="K79" s="25">
        <f>IF($G79="","",IF(IFERROR(INDEX(Parámetros!$C$54:$C$60,MATCH($C79,Parámetros!$A$54:$A$60,0)),0)=1,$J79,0))</f>
        <v/>
      </c>
      <c r="L79" s="25">
        <f>IF($G79="","",IF(IFERROR(INDEX(Parámetros!$D$54:$D$60,MATCH($C79,Parámetros!$A$54:$A$60,0)),0)=1,ROUND($I79*Parámetros!$B$16,0),0))</f>
        <v/>
      </c>
      <c r="M79" s="25">
        <f>IF($G79="","",$I79+$J79)</f>
        <v/>
      </c>
      <c r="N79" s="25">
        <f>IF($G79="","",$M79-$L79)</f>
        <v/>
      </c>
      <c r="O79" s="38" t="n"/>
      <c r="P79" s="38" t="n"/>
      <c r="Q79" s="37" t="n"/>
      <c r="R79" s="38" t="n"/>
      <c r="S79" s="40">
        <f>IF($A79="","",YEAR($A79))</f>
        <v/>
      </c>
      <c r="T79" s="40">
        <f>IF($A79="","",MONTH($A79))</f>
        <v/>
      </c>
      <c r="U79" s="40">
        <f>IF($Q79="","",YEAR($Q79))</f>
        <v/>
      </c>
      <c r="V79" s="40">
        <f>IF($Q79="","",MONTH($Q79))</f>
        <v/>
      </c>
    </row>
    <row r="80">
      <c r="A80" s="37" t="n"/>
      <c r="B80" s="38" t="n"/>
      <c r="C80" s="38" t="n"/>
      <c r="D80" s="38" t="n"/>
      <c r="E80" s="38" t="n"/>
      <c r="F80" s="38" t="n"/>
      <c r="G80" s="39" t="n"/>
      <c r="H80" s="38" t="n"/>
      <c r="I80" s="25">
        <f>IF($G80="","",IF(AND($H80="Sí",IFERROR(INDEX(Parámetros!$B$54:$B$60,MATCH($C80,Parámetros!$A$54:$A$60,0)),0)=1),ROUND($G80/(1+Parámetros!$B$13),0),$G80))</f>
        <v/>
      </c>
      <c r="J80" s="25">
        <f>IF($G80="","",IF(IFERROR(INDEX(Parámetros!$B$54:$B$60,MATCH($C80,Parámetros!$A$54:$A$60,0)),0)=1,ROUND($I80*Parámetros!$B$13,0),0))</f>
        <v/>
      </c>
      <c r="K80" s="25">
        <f>IF($G80="","",IF(IFERROR(INDEX(Parámetros!$C$54:$C$60,MATCH($C80,Parámetros!$A$54:$A$60,0)),0)=1,$J80,0))</f>
        <v/>
      </c>
      <c r="L80" s="25">
        <f>IF($G80="","",IF(IFERROR(INDEX(Parámetros!$D$54:$D$60,MATCH($C80,Parámetros!$A$54:$A$60,0)),0)=1,ROUND($I80*Parámetros!$B$16,0),0))</f>
        <v/>
      </c>
      <c r="M80" s="25">
        <f>IF($G80="","",$I80+$J80)</f>
        <v/>
      </c>
      <c r="N80" s="25">
        <f>IF($G80="","",$M80-$L80)</f>
        <v/>
      </c>
      <c r="O80" s="38" t="n"/>
      <c r="P80" s="38" t="n"/>
      <c r="Q80" s="37" t="n"/>
      <c r="R80" s="38" t="n"/>
      <c r="S80" s="40">
        <f>IF($A80="","",YEAR($A80))</f>
        <v/>
      </c>
      <c r="T80" s="40">
        <f>IF($A80="","",MONTH($A80))</f>
        <v/>
      </c>
      <c r="U80" s="40">
        <f>IF($Q80="","",YEAR($Q80))</f>
        <v/>
      </c>
      <c r="V80" s="40">
        <f>IF($Q80="","",MONTH($Q80))</f>
        <v/>
      </c>
    </row>
    <row r="81">
      <c r="A81" s="37" t="n"/>
      <c r="B81" s="38" t="n"/>
      <c r="C81" s="38" t="n"/>
      <c r="D81" s="38" t="n"/>
      <c r="E81" s="38" t="n"/>
      <c r="F81" s="38" t="n"/>
      <c r="G81" s="39" t="n"/>
      <c r="H81" s="38" t="n"/>
      <c r="I81" s="25">
        <f>IF($G81="","",IF(AND($H81="Sí",IFERROR(INDEX(Parámetros!$B$54:$B$60,MATCH($C81,Parámetros!$A$54:$A$60,0)),0)=1),ROUND($G81/(1+Parámetros!$B$13),0),$G81))</f>
        <v/>
      </c>
      <c r="J81" s="25">
        <f>IF($G81="","",IF(IFERROR(INDEX(Parámetros!$B$54:$B$60,MATCH($C81,Parámetros!$A$54:$A$60,0)),0)=1,ROUND($I81*Parámetros!$B$13,0),0))</f>
        <v/>
      </c>
      <c r="K81" s="25">
        <f>IF($G81="","",IF(IFERROR(INDEX(Parámetros!$C$54:$C$60,MATCH($C81,Parámetros!$A$54:$A$60,0)),0)=1,$J81,0))</f>
        <v/>
      </c>
      <c r="L81" s="25">
        <f>IF($G81="","",IF(IFERROR(INDEX(Parámetros!$D$54:$D$60,MATCH($C81,Parámetros!$A$54:$A$60,0)),0)=1,ROUND($I81*Parámetros!$B$16,0),0))</f>
        <v/>
      </c>
      <c r="M81" s="25">
        <f>IF($G81="","",$I81+$J81)</f>
        <v/>
      </c>
      <c r="N81" s="25">
        <f>IF($G81="","",$M81-$L81)</f>
        <v/>
      </c>
      <c r="O81" s="38" t="n"/>
      <c r="P81" s="38" t="n"/>
      <c r="Q81" s="37" t="n"/>
      <c r="R81" s="38" t="n"/>
      <c r="S81" s="40">
        <f>IF($A81="","",YEAR($A81))</f>
        <v/>
      </c>
      <c r="T81" s="40">
        <f>IF($A81="","",MONTH($A81))</f>
        <v/>
      </c>
      <c r="U81" s="40">
        <f>IF($Q81="","",YEAR($Q81))</f>
        <v/>
      </c>
      <c r="V81" s="40">
        <f>IF($Q81="","",MONTH($Q81))</f>
        <v/>
      </c>
    </row>
    <row r="82">
      <c r="A82" s="37" t="n"/>
      <c r="B82" s="38" t="n"/>
      <c r="C82" s="38" t="n"/>
      <c r="D82" s="38" t="n"/>
      <c r="E82" s="38" t="n"/>
      <c r="F82" s="38" t="n"/>
      <c r="G82" s="39" t="n"/>
      <c r="H82" s="38" t="n"/>
      <c r="I82" s="25">
        <f>IF($G82="","",IF(AND($H82="Sí",IFERROR(INDEX(Parámetros!$B$54:$B$60,MATCH($C82,Parámetros!$A$54:$A$60,0)),0)=1),ROUND($G82/(1+Parámetros!$B$13),0),$G82))</f>
        <v/>
      </c>
      <c r="J82" s="25">
        <f>IF($G82="","",IF(IFERROR(INDEX(Parámetros!$B$54:$B$60,MATCH($C82,Parámetros!$A$54:$A$60,0)),0)=1,ROUND($I82*Parámetros!$B$13,0),0))</f>
        <v/>
      </c>
      <c r="K82" s="25">
        <f>IF($G82="","",IF(IFERROR(INDEX(Parámetros!$C$54:$C$60,MATCH($C82,Parámetros!$A$54:$A$60,0)),0)=1,$J82,0))</f>
        <v/>
      </c>
      <c r="L82" s="25">
        <f>IF($G82="","",IF(IFERROR(INDEX(Parámetros!$D$54:$D$60,MATCH($C82,Parámetros!$A$54:$A$60,0)),0)=1,ROUND($I82*Parámetros!$B$16,0),0))</f>
        <v/>
      </c>
      <c r="M82" s="25">
        <f>IF($G82="","",$I82+$J82)</f>
        <v/>
      </c>
      <c r="N82" s="25">
        <f>IF($G82="","",$M82-$L82)</f>
        <v/>
      </c>
      <c r="O82" s="38" t="n"/>
      <c r="P82" s="38" t="n"/>
      <c r="Q82" s="37" t="n"/>
      <c r="R82" s="38" t="n"/>
      <c r="S82" s="40">
        <f>IF($A82="","",YEAR($A82))</f>
        <v/>
      </c>
      <c r="T82" s="40">
        <f>IF($A82="","",MONTH($A82))</f>
        <v/>
      </c>
      <c r="U82" s="40">
        <f>IF($Q82="","",YEAR($Q82))</f>
        <v/>
      </c>
      <c r="V82" s="40">
        <f>IF($Q82="","",MONTH($Q82))</f>
        <v/>
      </c>
    </row>
    <row r="83">
      <c r="A83" s="37" t="n"/>
      <c r="B83" s="38" t="n"/>
      <c r="C83" s="38" t="n"/>
      <c r="D83" s="38" t="n"/>
      <c r="E83" s="38" t="n"/>
      <c r="F83" s="38" t="n"/>
      <c r="G83" s="39" t="n"/>
      <c r="H83" s="38" t="n"/>
      <c r="I83" s="25">
        <f>IF($G83="","",IF(AND($H83="Sí",IFERROR(INDEX(Parámetros!$B$54:$B$60,MATCH($C83,Parámetros!$A$54:$A$60,0)),0)=1),ROUND($G83/(1+Parámetros!$B$13),0),$G83))</f>
        <v/>
      </c>
      <c r="J83" s="25">
        <f>IF($G83="","",IF(IFERROR(INDEX(Parámetros!$B$54:$B$60,MATCH($C83,Parámetros!$A$54:$A$60,0)),0)=1,ROUND($I83*Parámetros!$B$13,0),0))</f>
        <v/>
      </c>
      <c r="K83" s="25">
        <f>IF($G83="","",IF(IFERROR(INDEX(Parámetros!$C$54:$C$60,MATCH($C83,Parámetros!$A$54:$A$60,0)),0)=1,$J83,0))</f>
        <v/>
      </c>
      <c r="L83" s="25">
        <f>IF($G83="","",IF(IFERROR(INDEX(Parámetros!$D$54:$D$60,MATCH($C83,Parámetros!$A$54:$A$60,0)),0)=1,ROUND($I83*Parámetros!$B$16,0),0))</f>
        <v/>
      </c>
      <c r="M83" s="25">
        <f>IF($G83="","",$I83+$J83)</f>
        <v/>
      </c>
      <c r="N83" s="25">
        <f>IF($G83="","",$M83-$L83)</f>
        <v/>
      </c>
      <c r="O83" s="38" t="n"/>
      <c r="P83" s="38" t="n"/>
      <c r="Q83" s="37" t="n"/>
      <c r="R83" s="38" t="n"/>
      <c r="S83" s="40">
        <f>IF($A83="","",YEAR($A83))</f>
        <v/>
      </c>
      <c r="T83" s="40">
        <f>IF($A83="","",MONTH($A83))</f>
        <v/>
      </c>
      <c r="U83" s="40">
        <f>IF($Q83="","",YEAR($Q83))</f>
        <v/>
      </c>
      <c r="V83" s="40">
        <f>IF($Q83="","",MONTH($Q83))</f>
        <v/>
      </c>
    </row>
    <row r="84">
      <c r="A84" s="37" t="n"/>
      <c r="B84" s="38" t="n"/>
      <c r="C84" s="38" t="n"/>
      <c r="D84" s="38" t="n"/>
      <c r="E84" s="38" t="n"/>
      <c r="F84" s="38" t="n"/>
      <c r="G84" s="39" t="n"/>
      <c r="H84" s="38" t="n"/>
      <c r="I84" s="25">
        <f>IF($G84="","",IF(AND($H84="Sí",IFERROR(INDEX(Parámetros!$B$54:$B$60,MATCH($C84,Parámetros!$A$54:$A$60,0)),0)=1),ROUND($G84/(1+Parámetros!$B$13),0),$G84))</f>
        <v/>
      </c>
      <c r="J84" s="25">
        <f>IF($G84="","",IF(IFERROR(INDEX(Parámetros!$B$54:$B$60,MATCH($C84,Parámetros!$A$54:$A$60,0)),0)=1,ROUND($I84*Parámetros!$B$13,0),0))</f>
        <v/>
      </c>
      <c r="K84" s="25">
        <f>IF($G84="","",IF(IFERROR(INDEX(Parámetros!$C$54:$C$60,MATCH($C84,Parámetros!$A$54:$A$60,0)),0)=1,$J84,0))</f>
        <v/>
      </c>
      <c r="L84" s="25">
        <f>IF($G84="","",IF(IFERROR(INDEX(Parámetros!$D$54:$D$60,MATCH($C84,Parámetros!$A$54:$A$60,0)),0)=1,ROUND($I84*Parámetros!$B$16,0),0))</f>
        <v/>
      </c>
      <c r="M84" s="25">
        <f>IF($G84="","",$I84+$J84)</f>
        <v/>
      </c>
      <c r="N84" s="25">
        <f>IF($G84="","",$M84-$L84)</f>
        <v/>
      </c>
      <c r="O84" s="38" t="n"/>
      <c r="P84" s="38" t="n"/>
      <c r="Q84" s="37" t="n"/>
      <c r="R84" s="38" t="n"/>
      <c r="S84" s="40">
        <f>IF($A84="","",YEAR($A84))</f>
        <v/>
      </c>
      <c r="T84" s="40">
        <f>IF($A84="","",MONTH($A84))</f>
        <v/>
      </c>
      <c r="U84" s="40">
        <f>IF($Q84="","",YEAR($Q84))</f>
        <v/>
      </c>
      <c r="V84" s="40">
        <f>IF($Q84="","",MONTH($Q84))</f>
        <v/>
      </c>
    </row>
    <row r="85">
      <c r="A85" s="37" t="n"/>
      <c r="B85" s="38" t="n"/>
      <c r="C85" s="38" t="n"/>
      <c r="D85" s="38" t="n"/>
      <c r="E85" s="38" t="n"/>
      <c r="F85" s="38" t="n"/>
      <c r="G85" s="39" t="n"/>
      <c r="H85" s="38" t="n"/>
      <c r="I85" s="25">
        <f>IF($G85="","",IF(AND($H85="Sí",IFERROR(INDEX(Parámetros!$B$54:$B$60,MATCH($C85,Parámetros!$A$54:$A$60,0)),0)=1),ROUND($G85/(1+Parámetros!$B$13),0),$G85))</f>
        <v/>
      </c>
      <c r="J85" s="25">
        <f>IF($G85="","",IF(IFERROR(INDEX(Parámetros!$B$54:$B$60,MATCH($C85,Parámetros!$A$54:$A$60,0)),0)=1,ROUND($I85*Parámetros!$B$13,0),0))</f>
        <v/>
      </c>
      <c r="K85" s="25">
        <f>IF($G85="","",IF(IFERROR(INDEX(Parámetros!$C$54:$C$60,MATCH($C85,Parámetros!$A$54:$A$60,0)),0)=1,$J85,0))</f>
        <v/>
      </c>
      <c r="L85" s="25">
        <f>IF($G85="","",IF(IFERROR(INDEX(Parámetros!$D$54:$D$60,MATCH($C85,Parámetros!$A$54:$A$60,0)),0)=1,ROUND($I85*Parámetros!$B$16,0),0))</f>
        <v/>
      </c>
      <c r="M85" s="25">
        <f>IF($G85="","",$I85+$J85)</f>
        <v/>
      </c>
      <c r="N85" s="25">
        <f>IF($G85="","",$M85-$L85)</f>
        <v/>
      </c>
      <c r="O85" s="38" t="n"/>
      <c r="P85" s="38" t="n"/>
      <c r="Q85" s="37" t="n"/>
      <c r="R85" s="38" t="n"/>
      <c r="S85" s="40">
        <f>IF($A85="","",YEAR($A85))</f>
        <v/>
      </c>
      <c r="T85" s="40">
        <f>IF($A85="","",MONTH($A85))</f>
        <v/>
      </c>
      <c r="U85" s="40">
        <f>IF($Q85="","",YEAR($Q85))</f>
        <v/>
      </c>
      <c r="V85" s="40">
        <f>IF($Q85="","",MONTH($Q85))</f>
        <v/>
      </c>
    </row>
    <row r="86">
      <c r="A86" s="37" t="n"/>
      <c r="B86" s="38" t="n"/>
      <c r="C86" s="38" t="n"/>
      <c r="D86" s="38" t="n"/>
      <c r="E86" s="38" t="n"/>
      <c r="F86" s="38" t="n"/>
      <c r="G86" s="39" t="n"/>
      <c r="H86" s="38" t="n"/>
      <c r="I86" s="25">
        <f>IF($G86="","",IF(AND($H86="Sí",IFERROR(INDEX(Parámetros!$B$54:$B$60,MATCH($C86,Parámetros!$A$54:$A$60,0)),0)=1),ROUND($G86/(1+Parámetros!$B$13),0),$G86))</f>
        <v/>
      </c>
      <c r="J86" s="25">
        <f>IF($G86="","",IF(IFERROR(INDEX(Parámetros!$B$54:$B$60,MATCH($C86,Parámetros!$A$54:$A$60,0)),0)=1,ROUND($I86*Parámetros!$B$13,0),0))</f>
        <v/>
      </c>
      <c r="K86" s="25">
        <f>IF($G86="","",IF(IFERROR(INDEX(Parámetros!$C$54:$C$60,MATCH($C86,Parámetros!$A$54:$A$60,0)),0)=1,$J86,0))</f>
        <v/>
      </c>
      <c r="L86" s="25">
        <f>IF($G86="","",IF(IFERROR(INDEX(Parámetros!$D$54:$D$60,MATCH($C86,Parámetros!$A$54:$A$60,0)),0)=1,ROUND($I86*Parámetros!$B$16,0),0))</f>
        <v/>
      </c>
      <c r="M86" s="25">
        <f>IF($G86="","",$I86+$J86)</f>
        <v/>
      </c>
      <c r="N86" s="25">
        <f>IF($G86="","",$M86-$L86)</f>
        <v/>
      </c>
      <c r="O86" s="38" t="n"/>
      <c r="P86" s="38" t="n"/>
      <c r="Q86" s="37" t="n"/>
      <c r="R86" s="38" t="n"/>
      <c r="S86" s="40">
        <f>IF($A86="","",YEAR($A86))</f>
        <v/>
      </c>
      <c r="T86" s="40">
        <f>IF($A86="","",MONTH($A86))</f>
        <v/>
      </c>
      <c r="U86" s="40">
        <f>IF($Q86="","",YEAR($Q86))</f>
        <v/>
      </c>
      <c r="V86" s="40">
        <f>IF($Q86="","",MONTH($Q86))</f>
        <v/>
      </c>
    </row>
    <row r="87">
      <c r="A87" s="37" t="n"/>
      <c r="B87" s="38" t="n"/>
      <c r="C87" s="38" t="n"/>
      <c r="D87" s="38" t="n"/>
      <c r="E87" s="38" t="n"/>
      <c r="F87" s="38" t="n"/>
      <c r="G87" s="39" t="n"/>
      <c r="H87" s="38" t="n"/>
      <c r="I87" s="25">
        <f>IF($G87="","",IF(AND($H87="Sí",IFERROR(INDEX(Parámetros!$B$54:$B$60,MATCH($C87,Parámetros!$A$54:$A$60,0)),0)=1),ROUND($G87/(1+Parámetros!$B$13),0),$G87))</f>
        <v/>
      </c>
      <c r="J87" s="25">
        <f>IF($G87="","",IF(IFERROR(INDEX(Parámetros!$B$54:$B$60,MATCH($C87,Parámetros!$A$54:$A$60,0)),0)=1,ROUND($I87*Parámetros!$B$13,0),0))</f>
        <v/>
      </c>
      <c r="K87" s="25">
        <f>IF($G87="","",IF(IFERROR(INDEX(Parámetros!$C$54:$C$60,MATCH($C87,Parámetros!$A$54:$A$60,0)),0)=1,$J87,0))</f>
        <v/>
      </c>
      <c r="L87" s="25">
        <f>IF($G87="","",IF(IFERROR(INDEX(Parámetros!$D$54:$D$60,MATCH($C87,Parámetros!$A$54:$A$60,0)),0)=1,ROUND($I87*Parámetros!$B$16,0),0))</f>
        <v/>
      </c>
      <c r="M87" s="25">
        <f>IF($G87="","",$I87+$J87)</f>
        <v/>
      </c>
      <c r="N87" s="25">
        <f>IF($G87="","",$M87-$L87)</f>
        <v/>
      </c>
      <c r="O87" s="38" t="n"/>
      <c r="P87" s="38" t="n"/>
      <c r="Q87" s="37" t="n"/>
      <c r="R87" s="38" t="n"/>
      <c r="S87" s="40">
        <f>IF($A87="","",YEAR($A87))</f>
        <v/>
      </c>
      <c r="T87" s="40">
        <f>IF($A87="","",MONTH($A87))</f>
        <v/>
      </c>
      <c r="U87" s="40">
        <f>IF($Q87="","",YEAR($Q87))</f>
        <v/>
      </c>
      <c r="V87" s="40">
        <f>IF($Q87="","",MONTH($Q87))</f>
        <v/>
      </c>
    </row>
    <row r="88">
      <c r="A88" s="37" t="n"/>
      <c r="B88" s="38" t="n"/>
      <c r="C88" s="38" t="n"/>
      <c r="D88" s="38" t="n"/>
      <c r="E88" s="38" t="n"/>
      <c r="F88" s="38" t="n"/>
      <c r="G88" s="39" t="n"/>
      <c r="H88" s="38" t="n"/>
      <c r="I88" s="25">
        <f>IF($G88="","",IF(AND($H88="Sí",IFERROR(INDEX(Parámetros!$B$54:$B$60,MATCH($C88,Parámetros!$A$54:$A$60,0)),0)=1),ROUND($G88/(1+Parámetros!$B$13),0),$G88))</f>
        <v/>
      </c>
      <c r="J88" s="25">
        <f>IF($G88="","",IF(IFERROR(INDEX(Parámetros!$B$54:$B$60,MATCH($C88,Parámetros!$A$54:$A$60,0)),0)=1,ROUND($I88*Parámetros!$B$13,0),0))</f>
        <v/>
      </c>
      <c r="K88" s="25">
        <f>IF($G88="","",IF(IFERROR(INDEX(Parámetros!$C$54:$C$60,MATCH($C88,Parámetros!$A$54:$A$60,0)),0)=1,$J88,0))</f>
        <v/>
      </c>
      <c r="L88" s="25">
        <f>IF($G88="","",IF(IFERROR(INDEX(Parámetros!$D$54:$D$60,MATCH($C88,Parámetros!$A$54:$A$60,0)),0)=1,ROUND($I88*Parámetros!$B$16,0),0))</f>
        <v/>
      </c>
      <c r="M88" s="25">
        <f>IF($G88="","",$I88+$J88)</f>
        <v/>
      </c>
      <c r="N88" s="25">
        <f>IF($G88="","",$M88-$L88)</f>
        <v/>
      </c>
      <c r="O88" s="38" t="n"/>
      <c r="P88" s="38" t="n"/>
      <c r="Q88" s="37" t="n"/>
      <c r="R88" s="38" t="n"/>
      <c r="S88" s="40">
        <f>IF($A88="","",YEAR($A88))</f>
        <v/>
      </c>
      <c r="T88" s="40">
        <f>IF($A88="","",MONTH($A88))</f>
        <v/>
      </c>
      <c r="U88" s="40">
        <f>IF($Q88="","",YEAR($Q88))</f>
        <v/>
      </c>
      <c r="V88" s="40">
        <f>IF($Q88="","",MONTH($Q88))</f>
        <v/>
      </c>
    </row>
    <row r="89">
      <c r="A89" s="37" t="n"/>
      <c r="B89" s="38" t="n"/>
      <c r="C89" s="38" t="n"/>
      <c r="D89" s="38" t="n"/>
      <c r="E89" s="38" t="n"/>
      <c r="F89" s="38" t="n"/>
      <c r="G89" s="39" t="n"/>
      <c r="H89" s="38" t="n"/>
      <c r="I89" s="25">
        <f>IF($G89="","",IF(AND($H89="Sí",IFERROR(INDEX(Parámetros!$B$54:$B$60,MATCH($C89,Parámetros!$A$54:$A$60,0)),0)=1),ROUND($G89/(1+Parámetros!$B$13),0),$G89))</f>
        <v/>
      </c>
      <c r="J89" s="25">
        <f>IF($G89="","",IF(IFERROR(INDEX(Parámetros!$B$54:$B$60,MATCH($C89,Parámetros!$A$54:$A$60,0)),0)=1,ROUND($I89*Parámetros!$B$13,0),0))</f>
        <v/>
      </c>
      <c r="K89" s="25">
        <f>IF($G89="","",IF(IFERROR(INDEX(Parámetros!$C$54:$C$60,MATCH($C89,Parámetros!$A$54:$A$60,0)),0)=1,$J89,0))</f>
        <v/>
      </c>
      <c r="L89" s="25">
        <f>IF($G89="","",IF(IFERROR(INDEX(Parámetros!$D$54:$D$60,MATCH($C89,Parámetros!$A$54:$A$60,0)),0)=1,ROUND($I89*Parámetros!$B$16,0),0))</f>
        <v/>
      </c>
      <c r="M89" s="25">
        <f>IF($G89="","",$I89+$J89)</f>
        <v/>
      </c>
      <c r="N89" s="25">
        <f>IF($G89="","",$M89-$L89)</f>
        <v/>
      </c>
      <c r="O89" s="38" t="n"/>
      <c r="P89" s="38" t="n"/>
      <c r="Q89" s="37" t="n"/>
      <c r="R89" s="38" t="n"/>
      <c r="S89" s="40">
        <f>IF($A89="","",YEAR($A89))</f>
        <v/>
      </c>
      <c r="T89" s="40">
        <f>IF($A89="","",MONTH($A89))</f>
        <v/>
      </c>
      <c r="U89" s="40">
        <f>IF($Q89="","",YEAR($Q89))</f>
        <v/>
      </c>
      <c r="V89" s="40">
        <f>IF($Q89="","",MONTH($Q89))</f>
        <v/>
      </c>
    </row>
    <row r="90">
      <c r="A90" s="37" t="n"/>
      <c r="B90" s="38" t="n"/>
      <c r="C90" s="38" t="n"/>
      <c r="D90" s="38" t="n"/>
      <c r="E90" s="38" t="n"/>
      <c r="F90" s="38" t="n"/>
      <c r="G90" s="39" t="n"/>
      <c r="H90" s="38" t="n"/>
      <c r="I90" s="25">
        <f>IF($G90="","",IF(AND($H90="Sí",IFERROR(INDEX(Parámetros!$B$54:$B$60,MATCH($C90,Parámetros!$A$54:$A$60,0)),0)=1),ROUND($G90/(1+Parámetros!$B$13),0),$G90))</f>
        <v/>
      </c>
      <c r="J90" s="25">
        <f>IF($G90="","",IF(IFERROR(INDEX(Parámetros!$B$54:$B$60,MATCH($C90,Parámetros!$A$54:$A$60,0)),0)=1,ROUND($I90*Parámetros!$B$13,0),0))</f>
        <v/>
      </c>
      <c r="K90" s="25">
        <f>IF($G90="","",IF(IFERROR(INDEX(Parámetros!$C$54:$C$60,MATCH($C90,Parámetros!$A$54:$A$60,0)),0)=1,$J90,0))</f>
        <v/>
      </c>
      <c r="L90" s="25">
        <f>IF($G90="","",IF(IFERROR(INDEX(Parámetros!$D$54:$D$60,MATCH($C90,Parámetros!$A$54:$A$60,0)),0)=1,ROUND($I90*Parámetros!$B$16,0),0))</f>
        <v/>
      </c>
      <c r="M90" s="25">
        <f>IF($G90="","",$I90+$J90)</f>
        <v/>
      </c>
      <c r="N90" s="25">
        <f>IF($G90="","",$M90-$L90)</f>
        <v/>
      </c>
      <c r="O90" s="38" t="n"/>
      <c r="P90" s="38" t="n"/>
      <c r="Q90" s="37" t="n"/>
      <c r="R90" s="38" t="n"/>
      <c r="S90" s="40">
        <f>IF($A90="","",YEAR($A90))</f>
        <v/>
      </c>
      <c r="T90" s="40">
        <f>IF($A90="","",MONTH($A90))</f>
        <v/>
      </c>
      <c r="U90" s="40">
        <f>IF($Q90="","",YEAR($Q90))</f>
        <v/>
      </c>
      <c r="V90" s="40">
        <f>IF($Q90="","",MONTH($Q90))</f>
        <v/>
      </c>
    </row>
    <row r="91">
      <c r="A91" s="37" t="n"/>
      <c r="B91" s="38" t="n"/>
      <c r="C91" s="38" t="n"/>
      <c r="D91" s="38" t="n"/>
      <c r="E91" s="38" t="n"/>
      <c r="F91" s="38" t="n"/>
      <c r="G91" s="39" t="n"/>
      <c r="H91" s="38" t="n"/>
      <c r="I91" s="25">
        <f>IF($G91="","",IF(AND($H91="Sí",IFERROR(INDEX(Parámetros!$B$54:$B$60,MATCH($C91,Parámetros!$A$54:$A$60,0)),0)=1),ROUND($G91/(1+Parámetros!$B$13),0),$G91))</f>
        <v/>
      </c>
      <c r="J91" s="25">
        <f>IF($G91="","",IF(IFERROR(INDEX(Parámetros!$B$54:$B$60,MATCH($C91,Parámetros!$A$54:$A$60,0)),0)=1,ROUND($I91*Parámetros!$B$13,0),0))</f>
        <v/>
      </c>
      <c r="K91" s="25">
        <f>IF($G91="","",IF(IFERROR(INDEX(Parámetros!$C$54:$C$60,MATCH($C91,Parámetros!$A$54:$A$60,0)),0)=1,$J91,0))</f>
        <v/>
      </c>
      <c r="L91" s="25">
        <f>IF($G91="","",IF(IFERROR(INDEX(Parámetros!$D$54:$D$60,MATCH($C91,Parámetros!$A$54:$A$60,0)),0)=1,ROUND($I91*Parámetros!$B$16,0),0))</f>
        <v/>
      </c>
      <c r="M91" s="25">
        <f>IF($G91="","",$I91+$J91)</f>
        <v/>
      </c>
      <c r="N91" s="25">
        <f>IF($G91="","",$M91-$L91)</f>
        <v/>
      </c>
      <c r="O91" s="38" t="n"/>
      <c r="P91" s="38" t="n"/>
      <c r="Q91" s="37" t="n"/>
      <c r="R91" s="38" t="n"/>
      <c r="S91" s="40">
        <f>IF($A91="","",YEAR($A91))</f>
        <v/>
      </c>
      <c r="T91" s="40">
        <f>IF($A91="","",MONTH($A91))</f>
        <v/>
      </c>
      <c r="U91" s="40">
        <f>IF($Q91="","",YEAR($Q91))</f>
        <v/>
      </c>
      <c r="V91" s="40">
        <f>IF($Q91="","",MONTH($Q91))</f>
        <v/>
      </c>
    </row>
    <row r="92">
      <c r="A92" s="37" t="n"/>
      <c r="B92" s="38" t="n"/>
      <c r="C92" s="38" t="n"/>
      <c r="D92" s="38" t="n"/>
      <c r="E92" s="38" t="n"/>
      <c r="F92" s="38" t="n"/>
      <c r="G92" s="39" t="n"/>
      <c r="H92" s="38" t="n"/>
      <c r="I92" s="25">
        <f>IF($G92="","",IF(AND($H92="Sí",IFERROR(INDEX(Parámetros!$B$54:$B$60,MATCH($C92,Parámetros!$A$54:$A$60,0)),0)=1),ROUND($G92/(1+Parámetros!$B$13),0),$G92))</f>
        <v/>
      </c>
      <c r="J92" s="25">
        <f>IF($G92="","",IF(IFERROR(INDEX(Parámetros!$B$54:$B$60,MATCH($C92,Parámetros!$A$54:$A$60,0)),0)=1,ROUND($I92*Parámetros!$B$13,0),0))</f>
        <v/>
      </c>
      <c r="K92" s="25">
        <f>IF($G92="","",IF(IFERROR(INDEX(Parámetros!$C$54:$C$60,MATCH($C92,Parámetros!$A$54:$A$60,0)),0)=1,$J92,0))</f>
        <v/>
      </c>
      <c r="L92" s="25">
        <f>IF($G92="","",IF(IFERROR(INDEX(Parámetros!$D$54:$D$60,MATCH($C92,Parámetros!$A$54:$A$60,0)),0)=1,ROUND($I92*Parámetros!$B$16,0),0))</f>
        <v/>
      </c>
      <c r="M92" s="25">
        <f>IF($G92="","",$I92+$J92)</f>
        <v/>
      </c>
      <c r="N92" s="25">
        <f>IF($G92="","",$M92-$L92)</f>
        <v/>
      </c>
      <c r="O92" s="38" t="n"/>
      <c r="P92" s="38" t="n"/>
      <c r="Q92" s="37" t="n"/>
      <c r="R92" s="38" t="n"/>
      <c r="S92" s="40">
        <f>IF($A92="","",YEAR($A92))</f>
        <v/>
      </c>
      <c r="T92" s="40">
        <f>IF($A92="","",MONTH($A92))</f>
        <v/>
      </c>
      <c r="U92" s="40">
        <f>IF($Q92="","",YEAR($Q92))</f>
        <v/>
      </c>
      <c r="V92" s="40">
        <f>IF($Q92="","",MONTH($Q92))</f>
        <v/>
      </c>
    </row>
    <row r="93">
      <c r="A93" s="37" t="n"/>
      <c r="B93" s="38" t="n"/>
      <c r="C93" s="38" t="n"/>
      <c r="D93" s="38" t="n"/>
      <c r="E93" s="38" t="n"/>
      <c r="F93" s="38" t="n"/>
      <c r="G93" s="39" t="n"/>
      <c r="H93" s="38" t="n"/>
      <c r="I93" s="25">
        <f>IF($G93="","",IF(AND($H93="Sí",IFERROR(INDEX(Parámetros!$B$54:$B$60,MATCH($C93,Parámetros!$A$54:$A$60,0)),0)=1),ROUND($G93/(1+Parámetros!$B$13),0),$G93))</f>
        <v/>
      </c>
      <c r="J93" s="25">
        <f>IF($G93="","",IF(IFERROR(INDEX(Parámetros!$B$54:$B$60,MATCH($C93,Parámetros!$A$54:$A$60,0)),0)=1,ROUND($I93*Parámetros!$B$13,0),0))</f>
        <v/>
      </c>
      <c r="K93" s="25">
        <f>IF($G93="","",IF(IFERROR(INDEX(Parámetros!$C$54:$C$60,MATCH($C93,Parámetros!$A$54:$A$60,0)),0)=1,$J93,0))</f>
        <v/>
      </c>
      <c r="L93" s="25">
        <f>IF($G93="","",IF(IFERROR(INDEX(Parámetros!$D$54:$D$60,MATCH($C93,Parámetros!$A$54:$A$60,0)),0)=1,ROUND($I93*Parámetros!$B$16,0),0))</f>
        <v/>
      </c>
      <c r="M93" s="25">
        <f>IF($G93="","",$I93+$J93)</f>
        <v/>
      </c>
      <c r="N93" s="25">
        <f>IF($G93="","",$M93-$L93)</f>
        <v/>
      </c>
      <c r="O93" s="38" t="n"/>
      <c r="P93" s="38" t="n"/>
      <c r="Q93" s="37" t="n"/>
      <c r="R93" s="38" t="n"/>
      <c r="S93" s="40">
        <f>IF($A93="","",YEAR($A93))</f>
        <v/>
      </c>
      <c r="T93" s="40">
        <f>IF($A93="","",MONTH($A93))</f>
        <v/>
      </c>
      <c r="U93" s="40">
        <f>IF($Q93="","",YEAR($Q93))</f>
        <v/>
      </c>
      <c r="V93" s="40">
        <f>IF($Q93="","",MONTH($Q93))</f>
        <v/>
      </c>
    </row>
    <row r="94">
      <c r="A94" s="37" t="n"/>
      <c r="B94" s="38" t="n"/>
      <c r="C94" s="38" t="n"/>
      <c r="D94" s="38" t="n"/>
      <c r="E94" s="38" t="n"/>
      <c r="F94" s="38" t="n"/>
      <c r="G94" s="39" t="n"/>
      <c r="H94" s="38" t="n"/>
      <c r="I94" s="25">
        <f>IF($G94="","",IF(AND($H94="Sí",IFERROR(INDEX(Parámetros!$B$54:$B$60,MATCH($C94,Parámetros!$A$54:$A$60,0)),0)=1),ROUND($G94/(1+Parámetros!$B$13),0),$G94))</f>
        <v/>
      </c>
      <c r="J94" s="25">
        <f>IF($G94="","",IF(IFERROR(INDEX(Parámetros!$B$54:$B$60,MATCH($C94,Parámetros!$A$54:$A$60,0)),0)=1,ROUND($I94*Parámetros!$B$13,0),0))</f>
        <v/>
      </c>
      <c r="K94" s="25">
        <f>IF($G94="","",IF(IFERROR(INDEX(Parámetros!$C$54:$C$60,MATCH($C94,Parámetros!$A$54:$A$60,0)),0)=1,$J94,0))</f>
        <v/>
      </c>
      <c r="L94" s="25">
        <f>IF($G94="","",IF(IFERROR(INDEX(Parámetros!$D$54:$D$60,MATCH($C94,Parámetros!$A$54:$A$60,0)),0)=1,ROUND($I94*Parámetros!$B$16,0),0))</f>
        <v/>
      </c>
      <c r="M94" s="25">
        <f>IF($G94="","",$I94+$J94)</f>
        <v/>
      </c>
      <c r="N94" s="25">
        <f>IF($G94="","",$M94-$L94)</f>
        <v/>
      </c>
      <c r="O94" s="38" t="n"/>
      <c r="P94" s="38" t="n"/>
      <c r="Q94" s="37" t="n"/>
      <c r="R94" s="38" t="n"/>
      <c r="S94" s="40">
        <f>IF($A94="","",YEAR($A94))</f>
        <v/>
      </c>
      <c r="T94" s="40">
        <f>IF($A94="","",MONTH($A94))</f>
        <v/>
      </c>
      <c r="U94" s="40">
        <f>IF($Q94="","",YEAR($Q94))</f>
        <v/>
      </c>
      <c r="V94" s="40">
        <f>IF($Q94="","",MONTH($Q94))</f>
        <v/>
      </c>
    </row>
    <row r="95">
      <c r="A95" s="37" t="n"/>
      <c r="B95" s="38" t="n"/>
      <c r="C95" s="38" t="n"/>
      <c r="D95" s="38" t="n"/>
      <c r="E95" s="38" t="n"/>
      <c r="F95" s="38" t="n"/>
      <c r="G95" s="39" t="n"/>
      <c r="H95" s="38" t="n"/>
      <c r="I95" s="25">
        <f>IF($G95="","",IF(AND($H95="Sí",IFERROR(INDEX(Parámetros!$B$54:$B$60,MATCH($C95,Parámetros!$A$54:$A$60,0)),0)=1),ROUND($G95/(1+Parámetros!$B$13),0),$G95))</f>
        <v/>
      </c>
      <c r="J95" s="25">
        <f>IF($G95="","",IF(IFERROR(INDEX(Parámetros!$B$54:$B$60,MATCH($C95,Parámetros!$A$54:$A$60,0)),0)=1,ROUND($I95*Parámetros!$B$13,0),0))</f>
        <v/>
      </c>
      <c r="K95" s="25">
        <f>IF($G95="","",IF(IFERROR(INDEX(Parámetros!$C$54:$C$60,MATCH($C95,Parámetros!$A$54:$A$60,0)),0)=1,$J95,0))</f>
        <v/>
      </c>
      <c r="L95" s="25">
        <f>IF($G95="","",IF(IFERROR(INDEX(Parámetros!$D$54:$D$60,MATCH($C95,Parámetros!$A$54:$A$60,0)),0)=1,ROUND($I95*Parámetros!$B$16,0),0))</f>
        <v/>
      </c>
      <c r="M95" s="25">
        <f>IF($G95="","",$I95+$J95)</f>
        <v/>
      </c>
      <c r="N95" s="25">
        <f>IF($G95="","",$M95-$L95)</f>
        <v/>
      </c>
      <c r="O95" s="38" t="n"/>
      <c r="P95" s="38" t="n"/>
      <c r="Q95" s="37" t="n"/>
      <c r="R95" s="38" t="n"/>
      <c r="S95" s="40">
        <f>IF($A95="","",YEAR($A95))</f>
        <v/>
      </c>
      <c r="T95" s="40">
        <f>IF($A95="","",MONTH($A95))</f>
        <v/>
      </c>
      <c r="U95" s="40">
        <f>IF($Q95="","",YEAR($Q95))</f>
        <v/>
      </c>
      <c r="V95" s="40">
        <f>IF($Q95="","",MONTH($Q95))</f>
        <v/>
      </c>
    </row>
    <row r="96">
      <c r="A96" s="37" t="n"/>
      <c r="B96" s="38" t="n"/>
      <c r="C96" s="38" t="n"/>
      <c r="D96" s="38" t="n"/>
      <c r="E96" s="38" t="n"/>
      <c r="F96" s="38" t="n"/>
      <c r="G96" s="39" t="n"/>
      <c r="H96" s="38" t="n"/>
      <c r="I96" s="25">
        <f>IF($G96="","",IF(AND($H96="Sí",IFERROR(INDEX(Parámetros!$B$54:$B$60,MATCH($C96,Parámetros!$A$54:$A$60,0)),0)=1),ROUND($G96/(1+Parámetros!$B$13),0),$G96))</f>
        <v/>
      </c>
      <c r="J96" s="25">
        <f>IF($G96="","",IF(IFERROR(INDEX(Parámetros!$B$54:$B$60,MATCH($C96,Parámetros!$A$54:$A$60,0)),0)=1,ROUND($I96*Parámetros!$B$13,0),0))</f>
        <v/>
      </c>
      <c r="K96" s="25">
        <f>IF($G96="","",IF(IFERROR(INDEX(Parámetros!$C$54:$C$60,MATCH($C96,Parámetros!$A$54:$A$60,0)),0)=1,$J96,0))</f>
        <v/>
      </c>
      <c r="L96" s="25">
        <f>IF($G96="","",IF(IFERROR(INDEX(Parámetros!$D$54:$D$60,MATCH($C96,Parámetros!$A$54:$A$60,0)),0)=1,ROUND($I96*Parámetros!$B$16,0),0))</f>
        <v/>
      </c>
      <c r="M96" s="25">
        <f>IF($G96="","",$I96+$J96)</f>
        <v/>
      </c>
      <c r="N96" s="25">
        <f>IF($G96="","",$M96-$L96)</f>
        <v/>
      </c>
      <c r="O96" s="38" t="n"/>
      <c r="P96" s="38" t="n"/>
      <c r="Q96" s="37" t="n"/>
      <c r="R96" s="38" t="n"/>
      <c r="S96" s="40">
        <f>IF($A96="","",YEAR($A96))</f>
        <v/>
      </c>
      <c r="T96" s="40">
        <f>IF($A96="","",MONTH($A96))</f>
        <v/>
      </c>
      <c r="U96" s="40">
        <f>IF($Q96="","",YEAR($Q96))</f>
        <v/>
      </c>
      <c r="V96" s="40">
        <f>IF($Q96="","",MONTH($Q96))</f>
        <v/>
      </c>
    </row>
    <row r="97">
      <c r="A97" s="37" t="n"/>
      <c r="B97" s="38" t="n"/>
      <c r="C97" s="38" t="n"/>
      <c r="D97" s="38" t="n"/>
      <c r="E97" s="38" t="n"/>
      <c r="F97" s="38" t="n"/>
      <c r="G97" s="39" t="n"/>
      <c r="H97" s="38" t="n"/>
      <c r="I97" s="25">
        <f>IF($G97="","",IF(AND($H97="Sí",IFERROR(INDEX(Parámetros!$B$54:$B$60,MATCH($C97,Parámetros!$A$54:$A$60,0)),0)=1),ROUND($G97/(1+Parámetros!$B$13),0),$G97))</f>
        <v/>
      </c>
      <c r="J97" s="25">
        <f>IF($G97="","",IF(IFERROR(INDEX(Parámetros!$B$54:$B$60,MATCH($C97,Parámetros!$A$54:$A$60,0)),0)=1,ROUND($I97*Parámetros!$B$13,0),0))</f>
        <v/>
      </c>
      <c r="K97" s="25">
        <f>IF($G97="","",IF(IFERROR(INDEX(Parámetros!$C$54:$C$60,MATCH($C97,Parámetros!$A$54:$A$60,0)),0)=1,$J97,0))</f>
        <v/>
      </c>
      <c r="L97" s="25">
        <f>IF($G97="","",IF(IFERROR(INDEX(Parámetros!$D$54:$D$60,MATCH($C97,Parámetros!$A$54:$A$60,0)),0)=1,ROUND($I97*Parámetros!$B$16,0),0))</f>
        <v/>
      </c>
      <c r="M97" s="25">
        <f>IF($G97="","",$I97+$J97)</f>
        <v/>
      </c>
      <c r="N97" s="25">
        <f>IF($G97="","",$M97-$L97)</f>
        <v/>
      </c>
      <c r="O97" s="38" t="n"/>
      <c r="P97" s="38" t="n"/>
      <c r="Q97" s="37" t="n"/>
      <c r="R97" s="38" t="n"/>
      <c r="S97" s="40">
        <f>IF($A97="","",YEAR($A97))</f>
        <v/>
      </c>
      <c r="T97" s="40">
        <f>IF($A97="","",MONTH($A97))</f>
        <v/>
      </c>
      <c r="U97" s="40">
        <f>IF($Q97="","",YEAR($Q97))</f>
        <v/>
      </c>
      <c r="V97" s="40">
        <f>IF($Q97="","",MONTH($Q97))</f>
        <v/>
      </c>
    </row>
    <row r="98">
      <c r="A98" s="37" t="n"/>
      <c r="B98" s="38" t="n"/>
      <c r="C98" s="38" t="n"/>
      <c r="D98" s="38" t="n"/>
      <c r="E98" s="38" t="n"/>
      <c r="F98" s="38" t="n"/>
      <c r="G98" s="39" t="n"/>
      <c r="H98" s="38" t="n"/>
      <c r="I98" s="25">
        <f>IF($G98="","",IF(AND($H98="Sí",IFERROR(INDEX(Parámetros!$B$54:$B$60,MATCH($C98,Parámetros!$A$54:$A$60,0)),0)=1),ROUND($G98/(1+Parámetros!$B$13),0),$G98))</f>
        <v/>
      </c>
      <c r="J98" s="25">
        <f>IF($G98="","",IF(IFERROR(INDEX(Parámetros!$B$54:$B$60,MATCH($C98,Parámetros!$A$54:$A$60,0)),0)=1,ROUND($I98*Parámetros!$B$13,0),0))</f>
        <v/>
      </c>
      <c r="K98" s="25">
        <f>IF($G98="","",IF(IFERROR(INDEX(Parámetros!$C$54:$C$60,MATCH($C98,Parámetros!$A$54:$A$60,0)),0)=1,$J98,0))</f>
        <v/>
      </c>
      <c r="L98" s="25">
        <f>IF($G98="","",IF(IFERROR(INDEX(Parámetros!$D$54:$D$60,MATCH($C98,Parámetros!$A$54:$A$60,0)),0)=1,ROUND($I98*Parámetros!$B$16,0),0))</f>
        <v/>
      </c>
      <c r="M98" s="25">
        <f>IF($G98="","",$I98+$J98)</f>
        <v/>
      </c>
      <c r="N98" s="25">
        <f>IF($G98="","",$M98-$L98)</f>
        <v/>
      </c>
      <c r="O98" s="38" t="n"/>
      <c r="P98" s="38" t="n"/>
      <c r="Q98" s="37" t="n"/>
      <c r="R98" s="38" t="n"/>
      <c r="S98" s="40">
        <f>IF($A98="","",YEAR($A98))</f>
        <v/>
      </c>
      <c r="T98" s="40">
        <f>IF($A98="","",MONTH($A98))</f>
        <v/>
      </c>
      <c r="U98" s="40">
        <f>IF($Q98="","",YEAR($Q98))</f>
        <v/>
      </c>
      <c r="V98" s="40">
        <f>IF($Q98="","",MONTH($Q98))</f>
        <v/>
      </c>
    </row>
    <row r="99">
      <c r="A99" s="37" t="n"/>
      <c r="B99" s="38" t="n"/>
      <c r="C99" s="38" t="n"/>
      <c r="D99" s="38" t="n"/>
      <c r="E99" s="38" t="n"/>
      <c r="F99" s="38" t="n"/>
      <c r="G99" s="39" t="n"/>
      <c r="H99" s="38" t="n"/>
      <c r="I99" s="25">
        <f>IF($G99="","",IF(AND($H99="Sí",IFERROR(INDEX(Parámetros!$B$54:$B$60,MATCH($C99,Parámetros!$A$54:$A$60,0)),0)=1),ROUND($G99/(1+Parámetros!$B$13),0),$G99))</f>
        <v/>
      </c>
      <c r="J99" s="25">
        <f>IF($G99="","",IF(IFERROR(INDEX(Parámetros!$B$54:$B$60,MATCH($C99,Parámetros!$A$54:$A$60,0)),0)=1,ROUND($I99*Parámetros!$B$13,0),0))</f>
        <v/>
      </c>
      <c r="K99" s="25">
        <f>IF($G99="","",IF(IFERROR(INDEX(Parámetros!$C$54:$C$60,MATCH($C99,Parámetros!$A$54:$A$60,0)),0)=1,$J99,0))</f>
        <v/>
      </c>
      <c r="L99" s="25">
        <f>IF($G99="","",IF(IFERROR(INDEX(Parámetros!$D$54:$D$60,MATCH($C99,Parámetros!$A$54:$A$60,0)),0)=1,ROUND($I99*Parámetros!$B$16,0),0))</f>
        <v/>
      </c>
      <c r="M99" s="25">
        <f>IF($G99="","",$I99+$J99)</f>
        <v/>
      </c>
      <c r="N99" s="25">
        <f>IF($G99="","",$M99-$L99)</f>
        <v/>
      </c>
      <c r="O99" s="38" t="n"/>
      <c r="P99" s="38" t="n"/>
      <c r="Q99" s="37" t="n"/>
      <c r="R99" s="38" t="n"/>
      <c r="S99" s="40">
        <f>IF($A99="","",YEAR($A99))</f>
        <v/>
      </c>
      <c r="T99" s="40">
        <f>IF($A99="","",MONTH($A99))</f>
        <v/>
      </c>
      <c r="U99" s="40">
        <f>IF($Q99="","",YEAR($Q99))</f>
        <v/>
      </c>
      <c r="V99" s="40">
        <f>IF($Q99="","",MONTH($Q99))</f>
        <v/>
      </c>
    </row>
    <row r="100">
      <c r="A100" s="37" t="n"/>
      <c r="B100" s="38" t="n"/>
      <c r="C100" s="38" t="n"/>
      <c r="D100" s="38" t="n"/>
      <c r="E100" s="38" t="n"/>
      <c r="F100" s="38" t="n"/>
      <c r="G100" s="39" t="n"/>
      <c r="H100" s="38" t="n"/>
      <c r="I100" s="25">
        <f>IF($G100="","",IF(AND($H100="Sí",IFERROR(INDEX(Parámetros!$B$54:$B$60,MATCH($C100,Parámetros!$A$54:$A$60,0)),0)=1),ROUND($G100/(1+Parámetros!$B$13),0),$G100))</f>
        <v/>
      </c>
      <c r="J100" s="25">
        <f>IF($G100="","",IF(IFERROR(INDEX(Parámetros!$B$54:$B$60,MATCH($C100,Parámetros!$A$54:$A$60,0)),0)=1,ROUND($I100*Parámetros!$B$13,0),0))</f>
        <v/>
      </c>
      <c r="K100" s="25">
        <f>IF($G100="","",IF(IFERROR(INDEX(Parámetros!$C$54:$C$60,MATCH($C100,Parámetros!$A$54:$A$60,0)),0)=1,$J100,0))</f>
        <v/>
      </c>
      <c r="L100" s="25">
        <f>IF($G100="","",IF(IFERROR(INDEX(Parámetros!$D$54:$D$60,MATCH($C100,Parámetros!$A$54:$A$60,0)),0)=1,ROUND($I100*Parámetros!$B$16,0),0))</f>
        <v/>
      </c>
      <c r="M100" s="25">
        <f>IF($G100="","",$I100+$J100)</f>
        <v/>
      </c>
      <c r="N100" s="25">
        <f>IF($G100="","",$M100-$L100)</f>
        <v/>
      </c>
      <c r="O100" s="38" t="n"/>
      <c r="P100" s="38" t="n"/>
      <c r="Q100" s="37" t="n"/>
      <c r="R100" s="38" t="n"/>
      <c r="S100" s="40">
        <f>IF($A100="","",YEAR($A100))</f>
        <v/>
      </c>
      <c r="T100" s="40">
        <f>IF($A100="","",MONTH($A100))</f>
        <v/>
      </c>
      <c r="U100" s="40">
        <f>IF($Q100="","",YEAR($Q100))</f>
        <v/>
      </c>
      <c r="V100" s="40">
        <f>IF($Q100="","",MONTH($Q100))</f>
        <v/>
      </c>
    </row>
    <row r="101">
      <c r="A101" s="37" t="n"/>
      <c r="B101" s="38" t="n"/>
      <c r="C101" s="38" t="n"/>
      <c r="D101" s="38" t="n"/>
      <c r="E101" s="38" t="n"/>
      <c r="F101" s="38" t="n"/>
      <c r="G101" s="39" t="n"/>
      <c r="H101" s="38" t="n"/>
      <c r="I101" s="25">
        <f>IF($G101="","",IF(AND($H101="Sí",IFERROR(INDEX(Parámetros!$B$54:$B$60,MATCH($C101,Parámetros!$A$54:$A$60,0)),0)=1),ROUND($G101/(1+Parámetros!$B$13),0),$G101))</f>
        <v/>
      </c>
      <c r="J101" s="25">
        <f>IF($G101="","",IF(IFERROR(INDEX(Parámetros!$B$54:$B$60,MATCH($C101,Parámetros!$A$54:$A$60,0)),0)=1,ROUND($I101*Parámetros!$B$13,0),0))</f>
        <v/>
      </c>
      <c r="K101" s="25">
        <f>IF($G101="","",IF(IFERROR(INDEX(Parámetros!$C$54:$C$60,MATCH($C101,Parámetros!$A$54:$A$60,0)),0)=1,$J101,0))</f>
        <v/>
      </c>
      <c r="L101" s="25">
        <f>IF($G101="","",IF(IFERROR(INDEX(Parámetros!$D$54:$D$60,MATCH($C101,Parámetros!$A$54:$A$60,0)),0)=1,ROUND($I101*Parámetros!$B$16,0),0))</f>
        <v/>
      </c>
      <c r="M101" s="25">
        <f>IF($G101="","",$I101+$J101)</f>
        <v/>
      </c>
      <c r="N101" s="25">
        <f>IF($G101="","",$M101-$L101)</f>
        <v/>
      </c>
      <c r="O101" s="38" t="n"/>
      <c r="P101" s="38" t="n"/>
      <c r="Q101" s="37" t="n"/>
      <c r="R101" s="38" t="n"/>
      <c r="S101" s="40">
        <f>IF($A101="","",YEAR($A101))</f>
        <v/>
      </c>
      <c r="T101" s="40">
        <f>IF($A101="","",MONTH($A101))</f>
        <v/>
      </c>
      <c r="U101" s="40">
        <f>IF($Q101="","",YEAR($Q101))</f>
        <v/>
      </c>
      <c r="V101" s="40">
        <f>IF($Q101="","",MONTH($Q101))</f>
        <v/>
      </c>
    </row>
    <row r="102">
      <c r="A102" s="37" t="n"/>
      <c r="B102" s="38" t="n"/>
      <c r="C102" s="38" t="n"/>
      <c r="D102" s="38" t="n"/>
      <c r="E102" s="38" t="n"/>
      <c r="F102" s="38" t="n"/>
      <c r="G102" s="39" t="n"/>
      <c r="H102" s="38" t="n"/>
      <c r="I102" s="25">
        <f>IF($G102="","",IF(AND($H102="Sí",IFERROR(INDEX(Parámetros!$B$54:$B$60,MATCH($C102,Parámetros!$A$54:$A$60,0)),0)=1),ROUND($G102/(1+Parámetros!$B$13),0),$G102))</f>
        <v/>
      </c>
      <c r="J102" s="25">
        <f>IF($G102="","",IF(IFERROR(INDEX(Parámetros!$B$54:$B$60,MATCH($C102,Parámetros!$A$54:$A$60,0)),0)=1,ROUND($I102*Parámetros!$B$13,0),0))</f>
        <v/>
      </c>
      <c r="K102" s="25">
        <f>IF($G102="","",IF(IFERROR(INDEX(Parámetros!$C$54:$C$60,MATCH($C102,Parámetros!$A$54:$A$60,0)),0)=1,$J102,0))</f>
        <v/>
      </c>
      <c r="L102" s="25">
        <f>IF($G102="","",IF(IFERROR(INDEX(Parámetros!$D$54:$D$60,MATCH($C102,Parámetros!$A$54:$A$60,0)),0)=1,ROUND($I102*Parámetros!$B$16,0),0))</f>
        <v/>
      </c>
      <c r="M102" s="25">
        <f>IF($G102="","",$I102+$J102)</f>
        <v/>
      </c>
      <c r="N102" s="25">
        <f>IF($G102="","",$M102-$L102)</f>
        <v/>
      </c>
      <c r="O102" s="38" t="n"/>
      <c r="P102" s="38" t="n"/>
      <c r="Q102" s="37" t="n"/>
      <c r="R102" s="38" t="n"/>
      <c r="S102" s="40">
        <f>IF($A102="","",YEAR($A102))</f>
        <v/>
      </c>
      <c r="T102" s="40">
        <f>IF($A102="","",MONTH($A102))</f>
        <v/>
      </c>
      <c r="U102" s="40">
        <f>IF($Q102="","",YEAR($Q102))</f>
        <v/>
      </c>
      <c r="V102" s="40">
        <f>IF($Q102="","",MONTH($Q102))</f>
        <v/>
      </c>
    </row>
    <row r="103">
      <c r="A103" s="37" t="n"/>
      <c r="B103" s="38" t="n"/>
      <c r="C103" s="38" t="n"/>
      <c r="D103" s="38" t="n"/>
      <c r="E103" s="38" t="n"/>
      <c r="F103" s="38" t="n"/>
      <c r="G103" s="39" t="n"/>
      <c r="H103" s="38" t="n"/>
      <c r="I103" s="25">
        <f>IF($G103="","",IF(AND($H103="Sí",IFERROR(INDEX(Parámetros!$B$54:$B$60,MATCH($C103,Parámetros!$A$54:$A$60,0)),0)=1),ROUND($G103/(1+Parámetros!$B$13),0),$G103))</f>
        <v/>
      </c>
      <c r="J103" s="25">
        <f>IF($G103="","",IF(IFERROR(INDEX(Parámetros!$B$54:$B$60,MATCH($C103,Parámetros!$A$54:$A$60,0)),0)=1,ROUND($I103*Parámetros!$B$13,0),0))</f>
        <v/>
      </c>
      <c r="K103" s="25">
        <f>IF($G103="","",IF(IFERROR(INDEX(Parámetros!$C$54:$C$60,MATCH($C103,Parámetros!$A$54:$A$60,0)),0)=1,$J103,0))</f>
        <v/>
      </c>
      <c r="L103" s="25">
        <f>IF($G103="","",IF(IFERROR(INDEX(Parámetros!$D$54:$D$60,MATCH($C103,Parámetros!$A$54:$A$60,0)),0)=1,ROUND($I103*Parámetros!$B$16,0),0))</f>
        <v/>
      </c>
      <c r="M103" s="25">
        <f>IF($G103="","",$I103+$J103)</f>
        <v/>
      </c>
      <c r="N103" s="25">
        <f>IF($G103="","",$M103-$L103)</f>
        <v/>
      </c>
      <c r="O103" s="38" t="n"/>
      <c r="P103" s="38" t="n"/>
      <c r="Q103" s="37" t="n"/>
      <c r="R103" s="38" t="n"/>
      <c r="S103" s="40">
        <f>IF($A103="","",YEAR($A103))</f>
        <v/>
      </c>
      <c r="T103" s="40">
        <f>IF($A103="","",MONTH($A103))</f>
        <v/>
      </c>
      <c r="U103" s="40">
        <f>IF($Q103="","",YEAR($Q103))</f>
        <v/>
      </c>
      <c r="V103" s="40">
        <f>IF($Q103="","",MONTH($Q103))</f>
        <v/>
      </c>
    </row>
    <row r="104">
      <c r="A104" s="37" t="n"/>
      <c r="B104" s="38" t="n"/>
      <c r="C104" s="38" t="n"/>
      <c r="D104" s="38" t="n"/>
      <c r="E104" s="38" t="n"/>
      <c r="F104" s="38" t="n"/>
      <c r="G104" s="39" t="n"/>
      <c r="H104" s="38" t="n"/>
      <c r="I104" s="25">
        <f>IF($G104="","",IF(AND($H104="Sí",IFERROR(INDEX(Parámetros!$B$54:$B$60,MATCH($C104,Parámetros!$A$54:$A$60,0)),0)=1),ROUND($G104/(1+Parámetros!$B$13),0),$G104))</f>
        <v/>
      </c>
      <c r="J104" s="25">
        <f>IF($G104="","",IF(IFERROR(INDEX(Parámetros!$B$54:$B$60,MATCH($C104,Parámetros!$A$54:$A$60,0)),0)=1,ROUND($I104*Parámetros!$B$13,0),0))</f>
        <v/>
      </c>
      <c r="K104" s="25">
        <f>IF($G104="","",IF(IFERROR(INDEX(Parámetros!$C$54:$C$60,MATCH($C104,Parámetros!$A$54:$A$60,0)),0)=1,$J104,0))</f>
        <v/>
      </c>
      <c r="L104" s="25">
        <f>IF($G104="","",IF(IFERROR(INDEX(Parámetros!$D$54:$D$60,MATCH($C104,Parámetros!$A$54:$A$60,0)),0)=1,ROUND($I104*Parámetros!$B$16,0),0))</f>
        <v/>
      </c>
      <c r="M104" s="25">
        <f>IF($G104="","",$I104+$J104)</f>
        <v/>
      </c>
      <c r="N104" s="25">
        <f>IF($G104="","",$M104-$L104)</f>
        <v/>
      </c>
      <c r="O104" s="38" t="n"/>
      <c r="P104" s="38" t="n"/>
      <c r="Q104" s="37" t="n"/>
      <c r="R104" s="38" t="n"/>
      <c r="S104" s="40">
        <f>IF($A104="","",YEAR($A104))</f>
        <v/>
      </c>
      <c r="T104" s="40">
        <f>IF($A104="","",MONTH($A104))</f>
        <v/>
      </c>
      <c r="U104" s="40">
        <f>IF($Q104="","",YEAR($Q104))</f>
        <v/>
      </c>
      <c r="V104" s="40">
        <f>IF($Q104="","",MONTH($Q104))</f>
        <v/>
      </c>
    </row>
    <row r="105">
      <c r="A105" s="37" t="n"/>
      <c r="B105" s="38" t="n"/>
      <c r="C105" s="38" t="n"/>
      <c r="D105" s="38" t="n"/>
      <c r="E105" s="38" t="n"/>
      <c r="F105" s="38" t="n"/>
      <c r="G105" s="39" t="n"/>
      <c r="H105" s="38" t="n"/>
      <c r="I105" s="25">
        <f>IF($G105="","",IF(AND($H105="Sí",IFERROR(INDEX(Parámetros!$B$54:$B$60,MATCH($C105,Parámetros!$A$54:$A$60,0)),0)=1),ROUND($G105/(1+Parámetros!$B$13),0),$G105))</f>
        <v/>
      </c>
      <c r="J105" s="25">
        <f>IF($G105="","",IF(IFERROR(INDEX(Parámetros!$B$54:$B$60,MATCH($C105,Parámetros!$A$54:$A$60,0)),0)=1,ROUND($I105*Parámetros!$B$13,0),0))</f>
        <v/>
      </c>
      <c r="K105" s="25">
        <f>IF($G105="","",IF(IFERROR(INDEX(Parámetros!$C$54:$C$60,MATCH($C105,Parámetros!$A$54:$A$60,0)),0)=1,$J105,0))</f>
        <v/>
      </c>
      <c r="L105" s="25">
        <f>IF($G105="","",IF(IFERROR(INDEX(Parámetros!$D$54:$D$60,MATCH($C105,Parámetros!$A$54:$A$60,0)),0)=1,ROUND($I105*Parámetros!$B$16,0),0))</f>
        <v/>
      </c>
      <c r="M105" s="25">
        <f>IF($G105="","",$I105+$J105)</f>
        <v/>
      </c>
      <c r="N105" s="25">
        <f>IF($G105="","",$M105-$L105)</f>
        <v/>
      </c>
      <c r="O105" s="38" t="n"/>
      <c r="P105" s="38" t="n"/>
      <c r="Q105" s="37" t="n"/>
      <c r="R105" s="38" t="n"/>
      <c r="S105" s="40">
        <f>IF($A105="","",YEAR($A105))</f>
        <v/>
      </c>
      <c r="T105" s="40">
        <f>IF($A105="","",MONTH($A105))</f>
        <v/>
      </c>
      <c r="U105" s="40">
        <f>IF($Q105="","",YEAR($Q105))</f>
        <v/>
      </c>
      <c r="V105" s="40">
        <f>IF($Q105="","",MONTH($Q105))</f>
        <v/>
      </c>
    </row>
    <row r="106">
      <c r="A106" s="37" t="n"/>
      <c r="B106" s="38" t="n"/>
      <c r="C106" s="38" t="n"/>
      <c r="D106" s="38" t="n"/>
      <c r="E106" s="38" t="n"/>
      <c r="F106" s="38" t="n"/>
      <c r="G106" s="39" t="n"/>
      <c r="H106" s="38" t="n"/>
      <c r="I106" s="25">
        <f>IF($G106="","",IF(AND($H106="Sí",IFERROR(INDEX(Parámetros!$B$54:$B$60,MATCH($C106,Parámetros!$A$54:$A$60,0)),0)=1),ROUND($G106/(1+Parámetros!$B$13),0),$G106))</f>
        <v/>
      </c>
      <c r="J106" s="25">
        <f>IF($G106="","",IF(IFERROR(INDEX(Parámetros!$B$54:$B$60,MATCH($C106,Parámetros!$A$54:$A$60,0)),0)=1,ROUND($I106*Parámetros!$B$13,0),0))</f>
        <v/>
      </c>
      <c r="K106" s="25">
        <f>IF($G106="","",IF(IFERROR(INDEX(Parámetros!$C$54:$C$60,MATCH($C106,Parámetros!$A$54:$A$60,0)),0)=1,$J106,0))</f>
        <v/>
      </c>
      <c r="L106" s="25">
        <f>IF($G106="","",IF(IFERROR(INDEX(Parámetros!$D$54:$D$60,MATCH($C106,Parámetros!$A$54:$A$60,0)),0)=1,ROUND($I106*Parámetros!$B$16,0),0))</f>
        <v/>
      </c>
      <c r="M106" s="25">
        <f>IF($G106="","",$I106+$J106)</f>
        <v/>
      </c>
      <c r="N106" s="25">
        <f>IF($G106="","",$M106-$L106)</f>
        <v/>
      </c>
      <c r="O106" s="38" t="n"/>
      <c r="P106" s="38" t="n"/>
      <c r="Q106" s="37" t="n"/>
      <c r="R106" s="38" t="n"/>
      <c r="S106" s="40">
        <f>IF($A106="","",YEAR($A106))</f>
        <v/>
      </c>
      <c r="T106" s="40">
        <f>IF($A106="","",MONTH($A106))</f>
        <v/>
      </c>
      <c r="U106" s="40">
        <f>IF($Q106="","",YEAR($Q106))</f>
        <v/>
      </c>
      <c r="V106" s="40">
        <f>IF($Q106="","",MONTH($Q106))</f>
        <v/>
      </c>
    </row>
    <row r="107">
      <c r="A107" s="37" t="n"/>
      <c r="B107" s="38" t="n"/>
      <c r="C107" s="38" t="n"/>
      <c r="D107" s="38" t="n"/>
      <c r="E107" s="38" t="n"/>
      <c r="F107" s="38" t="n"/>
      <c r="G107" s="39" t="n"/>
      <c r="H107" s="38" t="n"/>
      <c r="I107" s="25">
        <f>IF($G107="","",IF(AND($H107="Sí",IFERROR(INDEX(Parámetros!$B$54:$B$60,MATCH($C107,Parámetros!$A$54:$A$60,0)),0)=1),ROUND($G107/(1+Parámetros!$B$13),0),$G107))</f>
        <v/>
      </c>
      <c r="J107" s="25">
        <f>IF($G107="","",IF(IFERROR(INDEX(Parámetros!$B$54:$B$60,MATCH($C107,Parámetros!$A$54:$A$60,0)),0)=1,ROUND($I107*Parámetros!$B$13,0),0))</f>
        <v/>
      </c>
      <c r="K107" s="25">
        <f>IF($G107="","",IF(IFERROR(INDEX(Parámetros!$C$54:$C$60,MATCH($C107,Parámetros!$A$54:$A$60,0)),0)=1,$J107,0))</f>
        <v/>
      </c>
      <c r="L107" s="25">
        <f>IF($G107="","",IF(IFERROR(INDEX(Parámetros!$D$54:$D$60,MATCH($C107,Parámetros!$A$54:$A$60,0)),0)=1,ROUND($I107*Parámetros!$B$16,0),0))</f>
        <v/>
      </c>
      <c r="M107" s="25">
        <f>IF($G107="","",$I107+$J107)</f>
        <v/>
      </c>
      <c r="N107" s="25">
        <f>IF($G107="","",$M107-$L107)</f>
        <v/>
      </c>
      <c r="O107" s="38" t="n"/>
      <c r="P107" s="38" t="n"/>
      <c r="Q107" s="37" t="n"/>
      <c r="R107" s="38" t="n"/>
      <c r="S107" s="40">
        <f>IF($A107="","",YEAR($A107))</f>
        <v/>
      </c>
      <c r="T107" s="40">
        <f>IF($A107="","",MONTH($A107))</f>
        <v/>
      </c>
      <c r="U107" s="40">
        <f>IF($Q107="","",YEAR($Q107))</f>
        <v/>
      </c>
      <c r="V107" s="40">
        <f>IF($Q107="","",MONTH($Q107))</f>
        <v/>
      </c>
    </row>
    <row r="108">
      <c r="A108" s="37" t="n"/>
      <c r="B108" s="38" t="n"/>
      <c r="C108" s="38" t="n"/>
      <c r="D108" s="38" t="n"/>
      <c r="E108" s="38" t="n"/>
      <c r="F108" s="38" t="n"/>
      <c r="G108" s="39" t="n"/>
      <c r="H108" s="38" t="n"/>
      <c r="I108" s="25">
        <f>IF($G108="","",IF(AND($H108="Sí",IFERROR(INDEX(Parámetros!$B$54:$B$60,MATCH($C108,Parámetros!$A$54:$A$60,0)),0)=1),ROUND($G108/(1+Parámetros!$B$13),0),$G108))</f>
        <v/>
      </c>
      <c r="J108" s="25">
        <f>IF($G108="","",IF(IFERROR(INDEX(Parámetros!$B$54:$B$60,MATCH($C108,Parámetros!$A$54:$A$60,0)),0)=1,ROUND($I108*Parámetros!$B$13,0),0))</f>
        <v/>
      </c>
      <c r="K108" s="25">
        <f>IF($G108="","",IF(IFERROR(INDEX(Parámetros!$C$54:$C$60,MATCH($C108,Parámetros!$A$54:$A$60,0)),0)=1,$J108,0))</f>
        <v/>
      </c>
      <c r="L108" s="25">
        <f>IF($G108="","",IF(IFERROR(INDEX(Parámetros!$D$54:$D$60,MATCH($C108,Parámetros!$A$54:$A$60,0)),0)=1,ROUND($I108*Parámetros!$B$16,0),0))</f>
        <v/>
      </c>
      <c r="M108" s="25">
        <f>IF($G108="","",$I108+$J108)</f>
        <v/>
      </c>
      <c r="N108" s="25">
        <f>IF($G108="","",$M108-$L108)</f>
        <v/>
      </c>
      <c r="O108" s="38" t="n"/>
      <c r="P108" s="38" t="n"/>
      <c r="Q108" s="37" t="n"/>
      <c r="R108" s="38" t="n"/>
      <c r="S108" s="40">
        <f>IF($A108="","",YEAR($A108))</f>
        <v/>
      </c>
      <c r="T108" s="40">
        <f>IF($A108="","",MONTH($A108))</f>
        <v/>
      </c>
      <c r="U108" s="40">
        <f>IF($Q108="","",YEAR($Q108))</f>
        <v/>
      </c>
      <c r="V108" s="40">
        <f>IF($Q108="","",MONTH($Q108))</f>
        <v/>
      </c>
    </row>
    <row r="109">
      <c r="A109" s="37" t="n"/>
      <c r="B109" s="38" t="n"/>
      <c r="C109" s="38" t="n"/>
      <c r="D109" s="38" t="n"/>
      <c r="E109" s="38" t="n"/>
      <c r="F109" s="38" t="n"/>
      <c r="G109" s="39" t="n"/>
      <c r="H109" s="38" t="n"/>
      <c r="I109" s="25">
        <f>IF($G109="","",IF(AND($H109="Sí",IFERROR(INDEX(Parámetros!$B$54:$B$60,MATCH($C109,Parámetros!$A$54:$A$60,0)),0)=1),ROUND($G109/(1+Parámetros!$B$13),0),$G109))</f>
        <v/>
      </c>
      <c r="J109" s="25">
        <f>IF($G109="","",IF(IFERROR(INDEX(Parámetros!$B$54:$B$60,MATCH($C109,Parámetros!$A$54:$A$60,0)),0)=1,ROUND($I109*Parámetros!$B$13,0),0))</f>
        <v/>
      </c>
      <c r="K109" s="25">
        <f>IF($G109="","",IF(IFERROR(INDEX(Parámetros!$C$54:$C$60,MATCH($C109,Parámetros!$A$54:$A$60,0)),0)=1,$J109,0))</f>
        <v/>
      </c>
      <c r="L109" s="25">
        <f>IF($G109="","",IF(IFERROR(INDEX(Parámetros!$D$54:$D$60,MATCH($C109,Parámetros!$A$54:$A$60,0)),0)=1,ROUND($I109*Parámetros!$B$16,0),0))</f>
        <v/>
      </c>
      <c r="M109" s="25">
        <f>IF($G109="","",$I109+$J109)</f>
        <v/>
      </c>
      <c r="N109" s="25">
        <f>IF($G109="","",$M109-$L109)</f>
        <v/>
      </c>
      <c r="O109" s="38" t="n"/>
      <c r="P109" s="38" t="n"/>
      <c r="Q109" s="37" t="n"/>
      <c r="R109" s="38" t="n"/>
      <c r="S109" s="40">
        <f>IF($A109="","",YEAR($A109))</f>
        <v/>
      </c>
      <c r="T109" s="40">
        <f>IF($A109="","",MONTH($A109))</f>
        <v/>
      </c>
      <c r="U109" s="40">
        <f>IF($Q109="","",YEAR($Q109))</f>
        <v/>
      </c>
      <c r="V109" s="40">
        <f>IF($Q109="","",MONTH($Q109))</f>
        <v/>
      </c>
    </row>
    <row r="110">
      <c r="A110" s="37" t="n"/>
      <c r="B110" s="38" t="n"/>
      <c r="C110" s="38" t="n"/>
      <c r="D110" s="38" t="n"/>
      <c r="E110" s="38" t="n"/>
      <c r="F110" s="38" t="n"/>
      <c r="G110" s="39" t="n"/>
      <c r="H110" s="38" t="n"/>
      <c r="I110" s="25">
        <f>IF($G110="","",IF(AND($H110="Sí",IFERROR(INDEX(Parámetros!$B$54:$B$60,MATCH($C110,Parámetros!$A$54:$A$60,0)),0)=1),ROUND($G110/(1+Parámetros!$B$13),0),$G110))</f>
        <v/>
      </c>
      <c r="J110" s="25">
        <f>IF($G110="","",IF(IFERROR(INDEX(Parámetros!$B$54:$B$60,MATCH($C110,Parámetros!$A$54:$A$60,0)),0)=1,ROUND($I110*Parámetros!$B$13,0),0))</f>
        <v/>
      </c>
      <c r="K110" s="25">
        <f>IF($G110="","",IF(IFERROR(INDEX(Parámetros!$C$54:$C$60,MATCH($C110,Parámetros!$A$54:$A$60,0)),0)=1,$J110,0))</f>
        <v/>
      </c>
      <c r="L110" s="25">
        <f>IF($G110="","",IF(IFERROR(INDEX(Parámetros!$D$54:$D$60,MATCH($C110,Parámetros!$A$54:$A$60,0)),0)=1,ROUND($I110*Parámetros!$B$16,0),0))</f>
        <v/>
      </c>
      <c r="M110" s="25">
        <f>IF($G110="","",$I110+$J110)</f>
        <v/>
      </c>
      <c r="N110" s="25">
        <f>IF($G110="","",$M110-$L110)</f>
        <v/>
      </c>
      <c r="O110" s="38" t="n"/>
      <c r="P110" s="38" t="n"/>
      <c r="Q110" s="37" t="n"/>
      <c r="R110" s="38" t="n"/>
      <c r="S110" s="40">
        <f>IF($A110="","",YEAR($A110))</f>
        <v/>
      </c>
      <c r="T110" s="40">
        <f>IF($A110="","",MONTH($A110))</f>
        <v/>
      </c>
      <c r="U110" s="40">
        <f>IF($Q110="","",YEAR($Q110))</f>
        <v/>
      </c>
      <c r="V110" s="40">
        <f>IF($Q110="","",MONTH($Q110))</f>
        <v/>
      </c>
    </row>
    <row r="111">
      <c r="A111" s="37" t="n"/>
      <c r="B111" s="38" t="n"/>
      <c r="C111" s="38" t="n"/>
      <c r="D111" s="38" t="n"/>
      <c r="E111" s="38" t="n"/>
      <c r="F111" s="38" t="n"/>
      <c r="G111" s="39" t="n"/>
      <c r="H111" s="38" t="n"/>
      <c r="I111" s="25">
        <f>IF($G111="","",IF(AND($H111="Sí",IFERROR(INDEX(Parámetros!$B$54:$B$60,MATCH($C111,Parámetros!$A$54:$A$60,0)),0)=1),ROUND($G111/(1+Parámetros!$B$13),0),$G111))</f>
        <v/>
      </c>
      <c r="J111" s="25">
        <f>IF($G111="","",IF(IFERROR(INDEX(Parámetros!$B$54:$B$60,MATCH($C111,Parámetros!$A$54:$A$60,0)),0)=1,ROUND($I111*Parámetros!$B$13,0),0))</f>
        <v/>
      </c>
      <c r="K111" s="25">
        <f>IF($G111="","",IF(IFERROR(INDEX(Parámetros!$C$54:$C$60,MATCH($C111,Parámetros!$A$54:$A$60,0)),0)=1,$J111,0))</f>
        <v/>
      </c>
      <c r="L111" s="25">
        <f>IF($G111="","",IF(IFERROR(INDEX(Parámetros!$D$54:$D$60,MATCH($C111,Parámetros!$A$54:$A$60,0)),0)=1,ROUND($I111*Parámetros!$B$16,0),0))</f>
        <v/>
      </c>
      <c r="M111" s="25">
        <f>IF($G111="","",$I111+$J111)</f>
        <v/>
      </c>
      <c r="N111" s="25">
        <f>IF($G111="","",$M111-$L111)</f>
        <v/>
      </c>
      <c r="O111" s="38" t="n"/>
      <c r="P111" s="38" t="n"/>
      <c r="Q111" s="37" t="n"/>
      <c r="R111" s="38" t="n"/>
      <c r="S111" s="40">
        <f>IF($A111="","",YEAR($A111))</f>
        <v/>
      </c>
      <c r="T111" s="40">
        <f>IF($A111="","",MONTH($A111))</f>
        <v/>
      </c>
      <c r="U111" s="40">
        <f>IF($Q111="","",YEAR($Q111))</f>
        <v/>
      </c>
      <c r="V111" s="40">
        <f>IF($Q111="","",MONTH($Q111))</f>
        <v/>
      </c>
    </row>
    <row r="112">
      <c r="A112" s="37" t="n"/>
      <c r="B112" s="38" t="n"/>
      <c r="C112" s="38" t="n"/>
      <c r="D112" s="38" t="n"/>
      <c r="E112" s="38" t="n"/>
      <c r="F112" s="38" t="n"/>
      <c r="G112" s="39" t="n"/>
      <c r="H112" s="38" t="n"/>
      <c r="I112" s="25">
        <f>IF($G112="","",IF(AND($H112="Sí",IFERROR(INDEX(Parámetros!$B$54:$B$60,MATCH($C112,Parámetros!$A$54:$A$60,0)),0)=1),ROUND($G112/(1+Parámetros!$B$13),0),$G112))</f>
        <v/>
      </c>
      <c r="J112" s="25">
        <f>IF($G112="","",IF(IFERROR(INDEX(Parámetros!$B$54:$B$60,MATCH($C112,Parámetros!$A$54:$A$60,0)),0)=1,ROUND($I112*Parámetros!$B$13,0),0))</f>
        <v/>
      </c>
      <c r="K112" s="25">
        <f>IF($G112="","",IF(IFERROR(INDEX(Parámetros!$C$54:$C$60,MATCH($C112,Parámetros!$A$54:$A$60,0)),0)=1,$J112,0))</f>
        <v/>
      </c>
      <c r="L112" s="25">
        <f>IF($G112="","",IF(IFERROR(INDEX(Parámetros!$D$54:$D$60,MATCH($C112,Parámetros!$A$54:$A$60,0)),0)=1,ROUND($I112*Parámetros!$B$16,0),0))</f>
        <v/>
      </c>
      <c r="M112" s="25">
        <f>IF($G112="","",$I112+$J112)</f>
        <v/>
      </c>
      <c r="N112" s="25">
        <f>IF($G112="","",$M112-$L112)</f>
        <v/>
      </c>
      <c r="O112" s="38" t="n"/>
      <c r="P112" s="38" t="n"/>
      <c r="Q112" s="37" t="n"/>
      <c r="R112" s="38" t="n"/>
      <c r="S112" s="40">
        <f>IF($A112="","",YEAR($A112))</f>
        <v/>
      </c>
      <c r="T112" s="40">
        <f>IF($A112="","",MONTH($A112))</f>
        <v/>
      </c>
      <c r="U112" s="40">
        <f>IF($Q112="","",YEAR($Q112))</f>
        <v/>
      </c>
      <c r="V112" s="40">
        <f>IF($Q112="","",MONTH($Q112))</f>
        <v/>
      </c>
    </row>
    <row r="113">
      <c r="A113" s="37" t="n"/>
      <c r="B113" s="38" t="n"/>
      <c r="C113" s="38" t="n"/>
      <c r="D113" s="38" t="n"/>
      <c r="E113" s="38" t="n"/>
      <c r="F113" s="38" t="n"/>
      <c r="G113" s="39" t="n"/>
      <c r="H113" s="38" t="n"/>
      <c r="I113" s="25">
        <f>IF($G113="","",IF(AND($H113="Sí",IFERROR(INDEX(Parámetros!$B$54:$B$60,MATCH($C113,Parámetros!$A$54:$A$60,0)),0)=1),ROUND($G113/(1+Parámetros!$B$13),0),$G113))</f>
        <v/>
      </c>
      <c r="J113" s="25">
        <f>IF($G113="","",IF(IFERROR(INDEX(Parámetros!$B$54:$B$60,MATCH($C113,Parámetros!$A$54:$A$60,0)),0)=1,ROUND($I113*Parámetros!$B$13,0),0))</f>
        <v/>
      </c>
      <c r="K113" s="25">
        <f>IF($G113="","",IF(IFERROR(INDEX(Parámetros!$C$54:$C$60,MATCH($C113,Parámetros!$A$54:$A$60,0)),0)=1,$J113,0))</f>
        <v/>
      </c>
      <c r="L113" s="25">
        <f>IF($G113="","",IF(IFERROR(INDEX(Parámetros!$D$54:$D$60,MATCH($C113,Parámetros!$A$54:$A$60,0)),0)=1,ROUND($I113*Parámetros!$B$16,0),0))</f>
        <v/>
      </c>
      <c r="M113" s="25">
        <f>IF($G113="","",$I113+$J113)</f>
        <v/>
      </c>
      <c r="N113" s="25">
        <f>IF($G113="","",$M113-$L113)</f>
        <v/>
      </c>
      <c r="O113" s="38" t="n"/>
      <c r="P113" s="38" t="n"/>
      <c r="Q113" s="37" t="n"/>
      <c r="R113" s="38" t="n"/>
      <c r="S113" s="40">
        <f>IF($A113="","",YEAR($A113))</f>
        <v/>
      </c>
      <c r="T113" s="40">
        <f>IF($A113="","",MONTH($A113))</f>
        <v/>
      </c>
      <c r="U113" s="40">
        <f>IF($Q113="","",YEAR($Q113))</f>
        <v/>
      </c>
      <c r="V113" s="40">
        <f>IF($Q113="","",MONTH($Q113))</f>
        <v/>
      </c>
    </row>
    <row r="114">
      <c r="A114" s="37" t="n"/>
      <c r="B114" s="38" t="n"/>
      <c r="C114" s="38" t="n"/>
      <c r="D114" s="38" t="n"/>
      <c r="E114" s="38" t="n"/>
      <c r="F114" s="38" t="n"/>
      <c r="G114" s="39" t="n"/>
      <c r="H114" s="38" t="n"/>
      <c r="I114" s="25">
        <f>IF($G114="","",IF(AND($H114="Sí",IFERROR(INDEX(Parámetros!$B$54:$B$60,MATCH($C114,Parámetros!$A$54:$A$60,0)),0)=1),ROUND($G114/(1+Parámetros!$B$13),0),$G114))</f>
        <v/>
      </c>
      <c r="J114" s="25">
        <f>IF($G114="","",IF(IFERROR(INDEX(Parámetros!$B$54:$B$60,MATCH($C114,Parámetros!$A$54:$A$60,0)),0)=1,ROUND($I114*Parámetros!$B$13,0),0))</f>
        <v/>
      </c>
      <c r="K114" s="25">
        <f>IF($G114="","",IF(IFERROR(INDEX(Parámetros!$C$54:$C$60,MATCH($C114,Parámetros!$A$54:$A$60,0)),0)=1,$J114,0))</f>
        <v/>
      </c>
      <c r="L114" s="25">
        <f>IF($G114="","",IF(IFERROR(INDEX(Parámetros!$D$54:$D$60,MATCH($C114,Parámetros!$A$54:$A$60,0)),0)=1,ROUND($I114*Parámetros!$B$16,0),0))</f>
        <v/>
      </c>
      <c r="M114" s="25">
        <f>IF($G114="","",$I114+$J114)</f>
        <v/>
      </c>
      <c r="N114" s="25">
        <f>IF($G114="","",$M114-$L114)</f>
        <v/>
      </c>
      <c r="O114" s="38" t="n"/>
      <c r="P114" s="38" t="n"/>
      <c r="Q114" s="37" t="n"/>
      <c r="R114" s="38" t="n"/>
      <c r="S114" s="40">
        <f>IF($A114="","",YEAR($A114))</f>
        <v/>
      </c>
      <c r="T114" s="40">
        <f>IF($A114="","",MONTH($A114))</f>
        <v/>
      </c>
      <c r="U114" s="40">
        <f>IF($Q114="","",YEAR($Q114))</f>
        <v/>
      </c>
      <c r="V114" s="40">
        <f>IF($Q114="","",MONTH($Q114))</f>
        <v/>
      </c>
    </row>
    <row r="115">
      <c r="A115" s="37" t="n"/>
      <c r="B115" s="38" t="n"/>
      <c r="C115" s="38" t="n"/>
      <c r="D115" s="38" t="n"/>
      <c r="E115" s="38" t="n"/>
      <c r="F115" s="38" t="n"/>
      <c r="G115" s="39" t="n"/>
      <c r="H115" s="38" t="n"/>
      <c r="I115" s="25">
        <f>IF($G115="","",IF(AND($H115="Sí",IFERROR(INDEX(Parámetros!$B$54:$B$60,MATCH($C115,Parámetros!$A$54:$A$60,0)),0)=1),ROUND($G115/(1+Parámetros!$B$13),0),$G115))</f>
        <v/>
      </c>
      <c r="J115" s="25">
        <f>IF($G115="","",IF(IFERROR(INDEX(Parámetros!$B$54:$B$60,MATCH($C115,Parámetros!$A$54:$A$60,0)),0)=1,ROUND($I115*Parámetros!$B$13,0),0))</f>
        <v/>
      </c>
      <c r="K115" s="25">
        <f>IF($G115="","",IF(IFERROR(INDEX(Parámetros!$C$54:$C$60,MATCH($C115,Parámetros!$A$54:$A$60,0)),0)=1,$J115,0))</f>
        <v/>
      </c>
      <c r="L115" s="25">
        <f>IF($G115="","",IF(IFERROR(INDEX(Parámetros!$D$54:$D$60,MATCH($C115,Parámetros!$A$54:$A$60,0)),0)=1,ROUND($I115*Parámetros!$B$16,0),0))</f>
        <v/>
      </c>
      <c r="M115" s="25">
        <f>IF($G115="","",$I115+$J115)</f>
        <v/>
      </c>
      <c r="N115" s="25">
        <f>IF($G115="","",$M115-$L115)</f>
        <v/>
      </c>
      <c r="O115" s="38" t="n"/>
      <c r="P115" s="38" t="n"/>
      <c r="Q115" s="37" t="n"/>
      <c r="R115" s="38" t="n"/>
      <c r="S115" s="40">
        <f>IF($A115="","",YEAR($A115))</f>
        <v/>
      </c>
      <c r="T115" s="40">
        <f>IF($A115="","",MONTH($A115))</f>
        <v/>
      </c>
      <c r="U115" s="40">
        <f>IF($Q115="","",YEAR($Q115))</f>
        <v/>
      </c>
      <c r="V115" s="40">
        <f>IF($Q115="","",MONTH($Q115))</f>
        <v/>
      </c>
    </row>
    <row r="116">
      <c r="A116" s="37" t="n"/>
      <c r="B116" s="38" t="n"/>
      <c r="C116" s="38" t="n"/>
      <c r="D116" s="38" t="n"/>
      <c r="E116" s="38" t="n"/>
      <c r="F116" s="38" t="n"/>
      <c r="G116" s="39" t="n"/>
      <c r="H116" s="38" t="n"/>
      <c r="I116" s="25">
        <f>IF($G116="","",IF(AND($H116="Sí",IFERROR(INDEX(Parámetros!$B$54:$B$60,MATCH($C116,Parámetros!$A$54:$A$60,0)),0)=1),ROUND($G116/(1+Parámetros!$B$13),0),$G116))</f>
        <v/>
      </c>
      <c r="J116" s="25">
        <f>IF($G116="","",IF(IFERROR(INDEX(Parámetros!$B$54:$B$60,MATCH($C116,Parámetros!$A$54:$A$60,0)),0)=1,ROUND($I116*Parámetros!$B$13,0),0))</f>
        <v/>
      </c>
      <c r="K116" s="25">
        <f>IF($G116="","",IF(IFERROR(INDEX(Parámetros!$C$54:$C$60,MATCH($C116,Parámetros!$A$54:$A$60,0)),0)=1,$J116,0))</f>
        <v/>
      </c>
      <c r="L116" s="25">
        <f>IF($G116="","",IF(IFERROR(INDEX(Parámetros!$D$54:$D$60,MATCH($C116,Parámetros!$A$54:$A$60,0)),0)=1,ROUND($I116*Parámetros!$B$16,0),0))</f>
        <v/>
      </c>
      <c r="M116" s="25">
        <f>IF($G116="","",$I116+$J116)</f>
        <v/>
      </c>
      <c r="N116" s="25">
        <f>IF($G116="","",$M116-$L116)</f>
        <v/>
      </c>
      <c r="O116" s="38" t="n"/>
      <c r="P116" s="38" t="n"/>
      <c r="Q116" s="37" t="n"/>
      <c r="R116" s="38" t="n"/>
      <c r="S116" s="40">
        <f>IF($A116="","",YEAR($A116))</f>
        <v/>
      </c>
      <c r="T116" s="40">
        <f>IF($A116="","",MONTH($A116))</f>
        <v/>
      </c>
      <c r="U116" s="40">
        <f>IF($Q116="","",YEAR($Q116))</f>
        <v/>
      </c>
      <c r="V116" s="40">
        <f>IF($Q116="","",MONTH($Q116))</f>
        <v/>
      </c>
    </row>
    <row r="117">
      <c r="A117" s="37" t="n"/>
      <c r="B117" s="38" t="n"/>
      <c r="C117" s="38" t="n"/>
      <c r="D117" s="38" t="n"/>
      <c r="E117" s="38" t="n"/>
      <c r="F117" s="38" t="n"/>
      <c r="G117" s="39" t="n"/>
      <c r="H117" s="38" t="n"/>
      <c r="I117" s="25">
        <f>IF($G117="","",IF(AND($H117="Sí",IFERROR(INDEX(Parámetros!$B$54:$B$60,MATCH($C117,Parámetros!$A$54:$A$60,0)),0)=1),ROUND($G117/(1+Parámetros!$B$13),0),$G117))</f>
        <v/>
      </c>
      <c r="J117" s="25">
        <f>IF($G117="","",IF(IFERROR(INDEX(Parámetros!$B$54:$B$60,MATCH($C117,Parámetros!$A$54:$A$60,0)),0)=1,ROUND($I117*Parámetros!$B$13,0),0))</f>
        <v/>
      </c>
      <c r="K117" s="25">
        <f>IF($G117="","",IF(IFERROR(INDEX(Parámetros!$C$54:$C$60,MATCH($C117,Parámetros!$A$54:$A$60,0)),0)=1,$J117,0))</f>
        <v/>
      </c>
      <c r="L117" s="25">
        <f>IF($G117="","",IF(IFERROR(INDEX(Parámetros!$D$54:$D$60,MATCH($C117,Parámetros!$A$54:$A$60,0)),0)=1,ROUND($I117*Parámetros!$B$16,0),0))</f>
        <v/>
      </c>
      <c r="M117" s="25">
        <f>IF($G117="","",$I117+$J117)</f>
        <v/>
      </c>
      <c r="N117" s="25">
        <f>IF($G117="","",$M117-$L117)</f>
        <v/>
      </c>
      <c r="O117" s="38" t="n"/>
      <c r="P117" s="38" t="n"/>
      <c r="Q117" s="37" t="n"/>
      <c r="R117" s="38" t="n"/>
      <c r="S117" s="40">
        <f>IF($A117="","",YEAR($A117))</f>
        <v/>
      </c>
      <c r="T117" s="40">
        <f>IF($A117="","",MONTH($A117))</f>
        <v/>
      </c>
      <c r="U117" s="40">
        <f>IF($Q117="","",YEAR($Q117))</f>
        <v/>
      </c>
      <c r="V117" s="40">
        <f>IF($Q117="","",MONTH($Q117))</f>
        <v/>
      </c>
    </row>
    <row r="118">
      <c r="A118" s="37" t="n"/>
      <c r="B118" s="38" t="n"/>
      <c r="C118" s="38" t="n"/>
      <c r="D118" s="38" t="n"/>
      <c r="E118" s="38" t="n"/>
      <c r="F118" s="38" t="n"/>
      <c r="G118" s="39" t="n"/>
      <c r="H118" s="38" t="n"/>
      <c r="I118" s="25">
        <f>IF($G118="","",IF(AND($H118="Sí",IFERROR(INDEX(Parámetros!$B$54:$B$60,MATCH($C118,Parámetros!$A$54:$A$60,0)),0)=1),ROUND($G118/(1+Parámetros!$B$13),0),$G118))</f>
        <v/>
      </c>
      <c r="J118" s="25">
        <f>IF($G118="","",IF(IFERROR(INDEX(Parámetros!$B$54:$B$60,MATCH($C118,Parámetros!$A$54:$A$60,0)),0)=1,ROUND($I118*Parámetros!$B$13,0),0))</f>
        <v/>
      </c>
      <c r="K118" s="25">
        <f>IF($G118="","",IF(IFERROR(INDEX(Parámetros!$C$54:$C$60,MATCH($C118,Parámetros!$A$54:$A$60,0)),0)=1,$J118,0))</f>
        <v/>
      </c>
      <c r="L118" s="25">
        <f>IF($G118="","",IF(IFERROR(INDEX(Parámetros!$D$54:$D$60,MATCH($C118,Parámetros!$A$54:$A$60,0)),0)=1,ROUND($I118*Parámetros!$B$16,0),0))</f>
        <v/>
      </c>
      <c r="M118" s="25">
        <f>IF($G118="","",$I118+$J118)</f>
        <v/>
      </c>
      <c r="N118" s="25">
        <f>IF($G118="","",$M118-$L118)</f>
        <v/>
      </c>
      <c r="O118" s="38" t="n"/>
      <c r="P118" s="38" t="n"/>
      <c r="Q118" s="37" t="n"/>
      <c r="R118" s="38" t="n"/>
      <c r="S118" s="40">
        <f>IF($A118="","",YEAR($A118))</f>
        <v/>
      </c>
      <c r="T118" s="40">
        <f>IF($A118="","",MONTH($A118))</f>
        <v/>
      </c>
      <c r="U118" s="40">
        <f>IF($Q118="","",YEAR($Q118))</f>
        <v/>
      </c>
      <c r="V118" s="40">
        <f>IF($Q118="","",MONTH($Q118))</f>
        <v/>
      </c>
    </row>
    <row r="119">
      <c r="A119" s="37" t="n"/>
      <c r="B119" s="38" t="n"/>
      <c r="C119" s="38" t="n"/>
      <c r="D119" s="38" t="n"/>
      <c r="E119" s="38" t="n"/>
      <c r="F119" s="38" t="n"/>
      <c r="G119" s="39" t="n"/>
      <c r="H119" s="38" t="n"/>
      <c r="I119" s="25">
        <f>IF($G119="","",IF(AND($H119="Sí",IFERROR(INDEX(Parámetros!$B$54:$B$60,MATCH($C119,Parámetros!$A$54:$A$60,0)),0)=1),ROUND($G119/(1+Parámetros!$B$13),0),$G119))</f>
        <v/>
      </c>
      <c r="J119" s="25">
        <f>IF($G119="","",IF(IFERROR(INDEX(Parámetros!$B$54:$B$60,MATCH($C119,Parámetros!$A$54:$A$60,0)),0)=1,ROUND($I119*Parámetros!$B$13,0),0))</f>
        <v/>
      </c>
      <c r="K119" s="25">
        <f>IF($G119="","",IF(IFERROR(INDEX(Parámetros!$C$54:$C$60,MATCH($C119,Parámetros!$A$54:$A$60,0)),0)=1,$J119,0))</f>
        <v/>
      </c>
      <c r="L119" s="25">
        <f>IF($G119="","",IF(IFERROR(INDEX(Parámetros!$D$54:$D$60,MATCH($C119,Parámetros!$A$54:$A$60,0)),0)=1,ROUND($I119*Parámetros!$B$16,0),0))</f>
        <v/>
      </c>
      <c r="M119" s="25">
        <f>IF($G119="","",$I119+$J119)</f>
        <v/>
      </c>
      <c r="N119" s="25">
        <f>IF($G119="","",$M119-$L119)</f>
        <v/>
      </c>
      <c r="O119" s="38" t="n"/>
      <c r="P119" s="38" t="n"/>
      <c r="Q119" s="37" t="n"/>
      <c r="R119" s="38" t="n"/>
      <c r="S119" s="40">
        <f>IF($A119="","",YEAR($A119))</f>
        <v/>
      </c>
      <c r="T119" s="40">
        <f>IF($A119="","",MONTH($A119))</f>
        <v/>
      </c>
      <c r="U119" s="40">
        <f>IF($Q119="","",YEAR($Q119))</f>
        <v/>
      </c>
      <c r="V119" s="40">
        <f>IF($Q119="","",MONTH($Q119))</f>
        <v/>
      </c>
    </row>
    <row r="120">
      <c r="A120" s="37" t="n"/>
      <c r="B120" s="38" t="n"/>
      <c r="C120" s="38" t="n"/>
      <c r="D120" s="38" t="n"/>
      <c r="E120" s="38" t="n"/>
      <c r="F120" s="38" t="n"/>
      <c r="G120" s="39" t="n"/>
      <c r="H120" s="38" t="n"/>
      <c r="I120" s="25">
        <f>IF($G120="","",IF(AND($H120="Sí",IFERROR(INDEX(Parámetros!$B$54:$B$60,MATCH($C120,Parámetros!$A$54:$A$60,0)),0)=1),ROUND($G120/(1+Parámetros!$B$13),0),$G120))</f>
        <v/>
      </c>
      <c r="J120" s="25">
        <f>IF($G120="","",IF(IFERROR(INDEX(Parámetros!$B$54:$B$60,MATCH($C120,Parámetros!$A$54:$A$60,0)),0)=1,ROUND($I120*Parámetros!$B$13,0),0))</f>
        <v/>
      </c>
      <c r="K120" s="25">
        <f>IF($G120="","",IF(IFERROR(INDEX(Parámetros!$C$54:$C$60,MATCH($C120,Parámetros!$A$54:$A$60,0)),0)=1,$J120,0))</f>
        <v/>
      </c>
      <c r="L120" s="25">
        <f>IF($G120="","",IF(IFERROR(INDEX(Parámetros!$D$54:$D$60,MATCH($C120,Parámetros!$A$54:$A$60,0)),0)=1,ROUND($I120*Parámetros!$B$16,0),0))</f>
        <v/>
      </c>
      <c r="M120" s="25">
        <f>IF($G120="","",$I120+$J120)</f>
        <v/>
      </c>
      <c r="N120" s="25">
        <f>IF($G120="","",$M120-$L120)</f>
        <v/>
      </c>
      <c r="O120" s="38" t="n"/>
      <c r="P120" s="38" t="n"/>
      <c r="Q120" s="37" t="n"/>
      <c r="R120" s="38" t="n"/>
      <c r="S120" s="40">
        <f>IF($A120="","",YEAR($A120))</f>
        <v/>
      </c>
      <c r="T120" s="40">
        <f>IF($A120="","",MONTH($A120))</f>
        <v/>
      </c>
      <c r="U120" s="40">
        <f>IF($Q120="","",YEAR($Q120))</f>
        <v/>
      </c>
      <c r="V120" s="40">
        <f>IF($Q120="","",MONTH($Q120))</f>
        <v/>
      </c>
    </row>
    <row r="121">
      <c r="A121" s="37" t="n"/>
      <c r="B121" s="38" t="n"/>
      <c r="C121" s="38" t="n"/>
      <c r="D121" s="38" t="n"/>
      <c r="E121" s="38" t="n"/>
      <c r="F121" s="38" t="n"/>
      <c r="G121" s="39" t="n"/>
      <c r="H121" s="38" t="n"/>
      <c r="I121" s="25">
        <f>IF($G121="","",IF(AND($H121="Sí",IFERROR(INDEX(Parámetros!$B$54:$B$60,MATCH($C121,Parámetros!$A$54:$A$60,0)),0)=1),ROUND($G121/(1+Parámetros!$B$13),0),$G121))</f>
        <v/>
      </c>
      <c r="J121" s="25">
        <f>IF($G121="","",IF(IFERROR(INDEX(Parámetros!$B$54:$B$60,MATCH($C121,Parámetros!$A$54:$A$60,0)),0)=1,ROUND($I121*Parámetros!$B$13,0),0))</f>
        <v/>
      </c>
      <c r="K121" s="25">
        <f>IF($G121="","",IF(IFERROR(INDEX(Parámetros!$C$54:$C$60,MATCH($C121,Parámetros!$A$54:$A$60,0)),0)=1,$J121,0))</f>
        <v/>
      </c>
      <c r="L121" s="25">
        <f>IF($G121="","",IF(IFERROR(INDEX(Parámetros!$D$54:$D$60,MATCH($C121,Parámetros!$A$54:$A$60,0)),0)=1,ROUND($I121*Parámetros!$B$16,0),0))</f>
        <v/>
      </c>
      <c r="M121" s="25">
        <f>IF($G121="","",$I121+$J121)</f>
        <v/>
      </c>
      <c r="N121" s="25">
        <f>IF($G121="","",$M121-$L121)</f>
        <v/>
      </c>
      <c r="O121" s="38" t="n"/>
      <c r="P121" s="38" t="n"/>
      <c r="Q121" s="37" t="n"/>
      <c r="R121" s="38" t="n"/>
      <c r="S121" s="40">
        <f>IF($A121="","",YEAR($A121))</f>
        <v/>
      </c>
      <c r="T121" s="40">
        <f>IF($A121="","",MONTH($A121))</f>
        <v/>
      </c>
      <c r="U121" s="40">
        <f>IF($Q121="","",YEAR($Q121))</f>
        <v/>
      </c>
      <c r="V121" s="40">
        <f>IF($Q121="","",MONTH($Q121))</f>
        <v/>
      </c>
    </row>
    <row r="122">
      <c r="A122" s="37" t="n"/>
      <c r="B122" s="38" t="n"/>
      <c r="C122" s="38" t="n"/>
      <c r="D122" s="38" t="n"/>
      <c r="E122" s="38" t="n"/>
      <c r="F122" s="38" t="n"/>
      <c r="G122" s="39" t="n"/>
      <c r="H122" s="38" t="n"/>
      <c r="I122" s="25">
        <f>IF($G122="","",IF(AND($H122="Sí",IFERROR(INDEX(Parámetros!$B$54:$B$60,MATCH($C122,Parámetros!$A$54:$A$60,0)),0)=1),ROUND($G122/(1+Parámetros!$B$13),0),$G122))</f>
        <v/>
      </c>
      <c r="J122" s="25">
        <f>IF($G122="","",IF(IFERROR(INDEX(Parámetros!$B$54:$B$60,MATCH($C122,Parámetros!$A$54:$A$60,0)),0)=1,ROUND($I122*Parámetros!$B$13,0),0))</f>
        <v/>
      </c>
      <c r="K122" s="25">
        <f>IF($G122="","",IF(IFERROR(INDEX(Parámetros!$C$54:$C$60,MATCH($C122,Parámetros!$A$54:$A$60,0)),0)=1,$J122,0))</f>
        <v/>
      </c>
      <c r="L122" s="25">
        <f>IF($G122="","",IF(IFERROR(INDEX(Parámetros!$D$54:$D$60,MATCH($C122,Parámetros!$A$54:$A$60,0)),0)=1,ROUND($I122*Parámetros!$B$16,0),0))</f>
        <v/>
      </c>
      <c r="M122" s="25">
        <f>IF($G122="","",$I122+$J122)</f>
        <v/>
      </c>
      <c r="N122" s="25">
        <f>IF($G122="","",$M122-$L122)</f>
        <v/>
      </c>
      <c r="O122" s="38" t="n"/>
      <c r="P122" s="38" t="n"/>
      <c r="Q122" s="37" t="n"/>
      <c r="R122" s="38" t="n"/>
      <c r="S122" s="40">
        <f>IF($A122="","",YEAR($A122))</f>
        <v/>
      </c>
      <c r="T122" s="40">
        <f>IF($A122="","",MONTH($A122))</f>
        <v/>
      </c>
      <c r="U122" s="40">
        <f>IF($Q122="","",YEAR($Q122))</f>
        <v/>
      </c>
      <c r="V122" s="40">
        <f>IF($Q122="","",MONTH($Q122))</f>
        <v/>
      </c>
    </row>
    <row r="123">
      <c r="A123" s="37" t="n"/>
      <c r="B123" s="38" t="n"/>
      <c r="C123" s="38" t="n"/>
      <c r="D123" s="38" t="n"/>
      <c r="E123" s="38" t="n"/>
      <c r="F123" s="38" t="n"/>
      <c r="G123" s="39" t="n"/>
      <c r="H123" s="38" t="n"/>
      <c r="I123" s="25">
        <f>IF($G123="","",IF(AND($H123="Sí",IFERROR(INDEX(Parámetros!$B$54:$B$60,MATCH($C123,Parámetros!$A$54:$A$60,0)),0)=1),ROUND($G123/(1+Parámetros!$B$13),0),$G123))</f>
        <v/>
      </c>
      <c r="J123" s="25">
        <f>IF($G123="","",IF(IFERROR(INDEX(Parámetros!$B$54:$B$60,MATCH($C123,Parámetros!$A$54:$A$60,0)),0)=1,ROUND($I123*Parámetros!$B$13,0),0))</f>
        <v/>
      </c>
      <c r="K123" s="25">
        <f>IF($G123="","",IF(IFERROR(INDEX(Parámetros!$C$54:$C$60,MATCH($C123,Parámetros!$A$54:$A$60,0)),0)=1,$J123,0))</f>
        <v/>
      </c>
      <c r="L123" s="25">
        <f>IF($G123="","",IF(IFERROR(INDEX(Parámetros!$D$54:$D$60,MATCH($C123,Parámetros!$A$54:$A$60,0)),0)=1,ROUND($I123*Parámetros!$B$16,0),0))</f>
        <v/>
      </c>
      <c r="M123" s="25">
        <f>IF($G123="","",$I123+$J123)</f>
        <v/>
      </c>
      <c r="N123" s="25">
        <f>IF($G123="","",$M123-$L123)</f>
        <v/>
      </c>
      <c r="O123" s="38" t="n"/>
      <c r="P123" s="38" t="n"/>
      <c r="Q123" s="37" t="n"/>
      <c r="R123" s="38" t="n"/>
      <c r="S123" s="40">
        <f>IF($A123="","",YEAR($A123))</f>
        <v/>
      </c>
      <c r="T123" s="40">
        <f>IF($A123="","",MONTH($A123))</f>
        <v/>
      </c>
      <c r="U123" s="40">
        <f>IF($Q123="","",YEAR($Q123))</f>
        <v/>
      </c>
      <c r="V123" s="40">
        <f>IF($Q123="","",MONTH($Q123))</f>
        <v/>
      </c>
    </row>
    <row r="124">
      <c r="A124" s="37" t="n"/>
      <c r="B124" s="38" t="n"/>
      <c r="C124" s="38" t="n"/>
      <c r="D124" s="38" t="n"/>
      <c r="E124" s="38" t="n"/>
      <c r="F124" s="38" t="n"/>
      <c r="G124" s="39" t="n"/>
      <c r="H124" s="38" t="n"/>
      <c r="I124" s="25">
        <f>IF($G124="","",IF(AND($H124="Sí",IFERROR(INDEX(Parámetros!$B$54:$B$60,MATCH($C124,Parámetros!$A$54:$A$60,0)),0)=1),ROUND($G124/(1+Parámetros!$B$13),0),$G124))</f>
        <v/>
      </c>
      <c r="J124" s="25">
        <f>IF($G124="","",IF(IFERROR(INDEX(Parámetros!$B$54:$B$60,MATCH($C124,Parámetros!$A$54:$A$60,0)),0)=1,ROUND($I124*Parámetros!$B$13,0),0))</f>
        <v/>
      </c>
      <c r="K124" s="25">
        <f>IF($G124="","",IF(IFERROR(INDEX(Parámetros!$C$54:$C$60,MATCH($C124,Parámetros!$A$54:$A$60,0)),0)=1,$J124,0))</f>
        <v/>
      </c>
      <c r="L124" s="25">
        <f>IF($G124="","",IF(IFERROR(INDEX(Parámetros!$D$54:$D$60,MATCH($C124,Parámetros!$A$54:$A$60,0)),0)=1,ROUND($I124*Parámetros!$B$16,0),0))</f>
        <v/>
      </c>
      <c r="M124" s="25">
        <f>IF($G124="","",$I124+$J124)</f>
        <v/>
      </c>
      <c r="N124" s="25">
        <f>IF($G124="","",$M124-$L124)</f>
        <v/>
      </c>
      <c r="O124" s="38" t="n"/>
      <c r="P124" s="38" t="n"/>
      <c r="Q124" s="37" t="n"/>
      <c r="R124" s="38" t="n"/>
      <c r="S124" s="40">
        <f>IF($A124="","",YEAR($A124))</f>
        <v/>
      </c>
      <c r="T124" s="40">
        <f>IF($A124="","",MONTH($A124))</f>
        <v/>
      </c>
      <c r="U124" s="40">
        <f>IF($Q124="","",YEAR($Q124))</f>
        <v/>
      </c>
      <c r="V124" s="40">
        <f>IF($Q124="","",MONTH($Q124))</f>
        <v/>
      </c>
    </row>
    <row r="125">
      <c r="A125" s="37" t="n"/>
      <c r="B125" s="38" t="n"/>
      <c r="C125" s="38" t="n"/>
      <c r="D125" s="38" t="n"/>
      <c r="E125" s="38" t="n"/>
      <c r="F125" s="38" t="n"/>
      <c r="G125" s="39" t="n"/>
      <c r="H125" s="38" t="n"/>
      <c r="I125" s="25">
        <f>IF($G125="","",IF(AND($H125="Sí",IFERROR(INDEX(Parámetros!$B$54:$B$60,MATCH($C125,Parámetros!$A$54:$A$60,0)),0)=1),ROUND($G125/(1+Parámetros!$B$13),0),$G125))</f>
        <v/>
      </c>
      <c r="J125" s="25">
        <f>IF($G125="","",IF(IFERROR(INDEX(Parámetros!$B$54:$B$60,MATCH($C125,Parámetros!$A$54:$A$60,0)),0)=1,ROUND($I125*Parámetros!$B$13,0),0))</f>
        <v/>
      </c>
      <c r="K125" s="25">
        <f>IF($G125="","",IF(IFERROR(INDEX(Parámetros!$C$54:$C$60,MATCH($C125,Parámetros!$A$54:$A$60,0)),0)=1,$J125,0))</f>
        <v/>
      </c>
      <c r="L125" s="25">
        <f>IF($G125="","",IF(IFERROR(INDEX(Parámetros!$D$54:$D$60,MATCH($C125,Parámetros!$A$54:$A$60,0)),0)=1,ROUND($I125*Parámetros!$B$16,0),0))</f>
        <v/>
      </c>
      <c r="M125" s="25">
        <f>IF($G125="","",$I125+$J125)</f>
        <v/>
      </c>
      <c r="N125" s="25">
        <f>IF($G125="","",$M125-$L125)</f>
        <v/>
      </c>
      <c r="O125" s="38" t="n"/>
      <c r="P125" s="38" t="n"/>
      <c r="Q125" s="37" t="n"/>
      <c r="R125" s="38" t="n"/>
      <c r="S125" s="40">
        <f>IF($A125="","",YEAR($A125))</f>
        <v/>
      </c>
      <c r="T125" s="40">
        <f>IF($A125="","",MONTH($A125))</f>
        <v/>
      </c>
      <c r="U125" s="40">
        <f>IF($Q125="","",YEAR($Q125))</f>
        <v/>
      </c>
      <c r="V125" s="40">
        <f>IF($Q125="","",MONTH($Q125))</f>
        <v/>
      </c>
    </row>
    <row r="126">
      <c r="A126" s="37" t="n"/>
      <c r="B126" s="38" t="n"/>
      <c r="C126" s="38" t="n"/>
      <c r="D126" s="38" t="n"/>
      <c r="E126" s="38" t="n"/>
      <c r="F126" s="38" t="n"/>
      <c r="G126" s="39" t="n"/>
      <c r="H126" s="38" t="n"/>
      <c r="I126" s="25">
        <f>IF($G126="","",IF(AND($H126="Sí",IFERROR(INDEX(Parámetros!$B$54:$B$60,MATCH($C126,Parámetros!$A$54:$A$60,0)),0)=1),ROUND($G126/(1+Parámetros!$B$13),0),$G126))</f>
        <v/>
      </c>
      <c r="J126" s="25">
        <f>IF($G126="","",IF(IFERROR(INDEX(Parámetros!$B$54:$B$60,MATCH($C126,Parámetros!$A$54:$A$60,0)),0)=1,ROUND($I126*Parámetros!$B$13,0),0))</f>
        <v/>
      </c>
      <c r="K126" s="25">
        <f>IF($G126="","",IF(IFERROR(INDEX(Parámetros!$C$54:$C$60,MATCH($C126,Parámetros!$A$54:$A$60,0)),0)=1,$J126,0))</f>
        <v/>
      </c>
      <c r="L126" s="25">
        <f>IF($G126="","",IF(IFERROR(INDEX(Parámetros!$D$54:$D$60,MATCH($C126,Parámetros!$A$54:$A$60,0)),0)=1,ROUND($I126*Parámetros!$B$16,0),0))</f>
        <v/>
      </c>
      <c r="M126" s="25">
        <f>IF($G126="","",$I126+$J126)</f>
        <v/>
      </c>
      <c r="N126" s="25">
        <f>IF($G126="","",$M126-$L126)</f>
        <v/>
      </c>
      <c r="O126" s="38" t="n"/>
      <c r="P126" s="38" t="n"/>
      <c r="Q126" s="37" t="n"/>
      <c r="R126" s="38" t="n"/>
      <c r="S126" s="40">
        <f>IF($A126="","",YEAR($A126))</f>
        <v/>
      </c>
      <c r="T126" s="40">
        <f>IF($A126="","",MONTH($A126))</f>
        <v/>
      </c>
      <c r="U126" s="40">
        <f>IF($Q126="","",YEAR($Q126))</f>
        <v/>
      </c>
      <c r="V126" s="40">
        <f>IF($Q126="","",MONTH($Q126))</f>
        <v/>
      </c>
    </row>
    <row r="127">
      <c r="A127" s="37" t="n"/>
      <c r="B127" s="38" t="n"/>
      <c r="C127" s="38" t="n"/>
      <c r="D127" s="38" t="n"/>
      <c r="E127" s="38" t="n"/>
      <c r="F127" s="38" t="n"/>
      <c r="G127" s="39" t="n"/>
      <c r="H127" s="38" t="n"/>
      <c r="I127" s="25">
        <f>IF($G127="","",IF(AND($H127="Sí",IFERROR(INDEX(Parámetros!$B$54:$B$60,MATCH($C127,Parámetros!$A$54:$A$60,0)),0)=1),ROUND($G127/(1+Parámetros!$B$13),0),$G127))</f>
        <v/>
      </c>
      <c r="J127" s="25">
        <f>IF($G127="","",IF(IFERROR(INDEX(Parámetros!$B$54:$B$60,MATCH($C127,Parámetros!$A$54:$A$60,0)),0)=1,ROUND($I127*Parámetros!$B$13,0),0))</f>
        <v/>
      </c>
      <c r="K127" s="25">
        <f>IF($G127="","",IF(IFERROR(INDEX(Parámetros!$C$54:$C$60,MATCH($C127,Parámetros!$A$54:$A$60,0)),0)=1,$J127,0))</f>
        <v/>
      </c>
      <c r="L127" s="25">
        <f>IF($G127="","",IF(IFERROR(INDEX(Parámetros!$D$54:$D$60,MATCH($C127,Parámetros!$A$54:$A$60,0)),0)=1,ROUND($I127*Parámetros!$B$16,0),0))</f>
        <v/>
      </c>
      <c r="M127" s="25">
        <f>IF($G127="","",$I127+$J127)</f>
        <v/>
      </c>
      <c r="N127" s="25">
        <f>IF($G127="","",$M127-$L127)</f>
        <v/>
      </c>
      <c r="O127" s="38" t="n"/>
      <c r="P127" s="38" t="n"/>
      <c r="Q127" s="37" t="n"/>
      <c r="R127" s="38" t="n"/>
      <c r="S127" s="40">
        <f>IF($A127="","",YEAR($A127))</f>
        <v/>
      </c>
      <c r="T127" s="40">
        <f>IF($A127="","",MONTH($A127))</f>
        <v/>
      </c>
      <c r="U127" s="40">
        <f>IF($Q127="","",YEAR($Q127))</f>
        <v/>
      </c>
      <c r="V127" s="40">
        <f>IF($Q127="","",MONTH($Q127))</f>
        <v/>
      </c>
    </row>
    <row r="128">
      <c r="A128" s="37" t="n"/>
      <c r="B128" s="38" t="n"/>
      <c r="C128" s="38" t="n"/>
      <c r="D128" s="38" t="n"/>
      <c r="E128" s="38" t="n"/>
      <c r="F128" s="38" t="n"/>
      <c r="G128" s="39" t="n"/>
      <c r="H128" s="38" t="n"/>
      <c r="I128" s="25">
        <f>IF($G128="","",IF(AND($H128="Sí",IFERROR(INDEX(Parámetros!$B$54:$B$60,MATCH($C128,Parámetros!$A$54:$A$60,0)),0)=1),ROUND($G128/(1+Parámetros!$B$13),0),$G128))</f>
        <v/>
      </c>
      <c r="J128" s="25">
        <f>IF($G128="","",IF(IFERROR(INDEX(Parámetros!$B$54:$B$60,MATCH($C128,Parámetros!$A$54:$A$60,0)),0)=1,ROUND($I128*Parámetros!$B$13,0),0))</f>
        <v/>
      </c>
      <c r="K128" s="25">
        <f>IF($G128="","",IF(IFERROR(INDEX(Parámetros!$C$54:$C$60,MATCH($C128,Parámetros!$A$54:$A$60,0)),0)=1,$J128,0))</f>
        <v/>
      </c>
      <c r="L128" s="25">
        <f>IF($G128="","",IF(IFERROR(INDEX(Parámetros!$D$54:$D$60,MATCH($C128,Parámetros!$A$54:$A$60,0)),0)=1,ROUND($I128*Parámetros!$B$16,0),0))</f>
        <v/>
      </c>
      <c r="M128" s="25">
        <f>IF($G128="","",$I128+$J128)</f>
        <v/>
      </c>
      <c r="N128" s="25">
        <f>IF($G128="","",$M128-$L128)</f>
        <v/>
      </c>
      <c r="O128" s="38" t="n"/>
      <c r="P128" s="38" t="n"/>
      <c r="Q128" s="37" t="n"/>
      <c r="R128" s="38" t="n"/>
      <c r="S128" s="40">
        <f>IF($A128="","",YEAR($A128))</f>
        <v/>
      </c>
      <c r="T128" s="40">
        <f>IF($A128="","",MONTH($A128))</f>
        <v/>
      </c>
      <c r="U128" s="40">
        <f>IF($Q128="","",YEAR($Q128))</f>
        <v/>
      </c>
      <c r="V128" s="40">
        <f>IF($Q128="","",MONTH($Q128))</f>
        <v/>
      </c>
    </row>
    <row r="129">
      <c r="A129" s="37" t="n"/>
      <c r="B129" s="38" t="n"/>
      <c r="C129" s="38" t="n"/>
      <c r="D129" s="38" t="n"/>
      <c r="E129" s="38" t="n"/>
      <c r="F129" s="38" t="n"/>
      <c r="G129" s="39" t="n"/>
      <c r="H129" s="38" t="n"/>
      <c r="I129" s="25">
        <f>IF($G129="","",IF(AND($H129="Sí",IFERROR(INDEX(Parámetros!$B$54:$B$60,MATCH($C129,Parámetros!$A$54:$A$60,0)),0)=1),ROUND($G129/(1+Parámetros!$B$13),0),$G129))</f>
        <v/>
      </c>
      <c r="J129" s="25">
        <f>IF($G129="","",IF(IFERROR(INDEX(Parámetros!$B$54:$B$60,MATCH($C129,Parámetros!$A$54:$A$60,0)),0)=1,ROUND($I129*Parámetros!$B$13,0),0))</f>
        <v/>
      </c>
      <c r="K129" s="25">
        <f>IF($G129="","",IF(IFERROR(INDEX(Parámetros!$C$54:$C$60,MATCH($C129,Parámetros!$A$54:$A$60,0)),0)=1,$J129,0))</f>
        <v/>
      </c>
      <c r="L129" s="25">
        <f>IF($G129="","",IF(IFERROR(INDEX(Parámetros!$D$54:$D$60,MATCH($C129,Parámetros!$A$54:$A$60,0)),0)=1,ROUND($I129*Parámetros!$B$16,0),0))</f>
        <v/>
      </c>
      <c r="M129" s="25">
        <f>IF($G129="","",$I129+$J129)</f>
        <v/>
      </c>
      <c r="N129" s="25">
        <f>IF($G129="","",$M129-$L129)</f>
        <v/>
      </c>
      <c r="O129" s="38" t="n"/>
      <c r="P129" s="38" t="n"/>
      <c r="Q129" s="37" t="n"/>
      <c r="R129" s="38" t="n"/>
      <c r="S129" s="40">
        <f>IF($A129="","",YEAR($A129))</f>
        <v/>
      </c>
      <c r="T129" s="40">
        <f>IF($A129="","",MONTH($A129))</f>
        <v/>
      </c>
      <c r="U129" s="40">
        <f>IF($Q129="","",YEAR($Q129))</f>
        <v/>
      </c>
      <c r="V129" s="40">
        <f>IF($Q129="","",MONTH($Q129))</f>
        <v/>
      </c>
    </row>
    <row r="130">
      <c r="A130" s="37" t="n"/>
      <c r="B130" s="38" t="n"/>
      <c r="C130" s="38" t="n"/>
      <c r="D130" s="38" t="n"/>
      <c r="E130" s="38" t="n"/>
      <c r="F130" s="38" t="n"/>
      <c r="G130" s="39" t="n"/>
      <c r="H130" s="38" t="n"/>
      <c r="I130" s="25">
        <f>IF($G130="","",IF(AND($H130="Sí",IFERROR(INDEX(Parámetros!$B$54:$B$60,MATCH($C130,Parámetros!$A$54:$A$60,0)),0)=1),ROUND($G130/(1+Parámetros!$B$13),0),$G130))</f>
        <v/>
      </c>
      <c r="J130" s="25">
        <f>IF($G130="","",IF(IFERROR(INDEX(Parámetros!$B$54:$B$60,MATCH($C130,Parámetros!$A$54:$A$60,0)),0)=1,ROUND($I130*Parámetros!$B$13,0),0))</f>
        <v/>
      </c>
      <c r="K130" s="25">
        <f>IF($G130="","",IF(IFERROR(INDEX(Parámetros!$C$54:$C$60,MATCH($C130,Parámetros!$A$54:$A$60,0)),0)=1,$J130,0))</f>
        <v/>
      </c>
      <c r="L130" s="25">
        <f>IF($G130="","",IF(IFERROR(INDEX(Parámetros!$D$54:$D$60,MATCH($C130,Parámetros!$A$54:$A$60,0)),0)=1,ROUND($I130*Parámetros!$B$16,0),0))</f>
        <v/>
      </c>
      <c r="M130" s="25">
        <f>IF($G130="","",$I130+$J130)</f>
        <v/>
      </c>
      <c r="N130" s="25">
        <f>IF($G130="","",$M130-$L130)</f>
        <v/>
      </c>
      <c r="O130" s="38" t="n"/>
      <c r="P130" s="38" t="n"/>
      <c r="Q130" s="37" t="n"/>
      <c r="R130" s="38" t="n"/>
      <c r="S130" s="40">
        <f>IF($A130="","",YEAR($A130))</f>
        <v/>
      </c>
      <c r="T130" s="40">
        <f>IF($A130="","",MONTH($A130))</f>
        <v/>
      </c>
      <c r="U130" s="40">
        <f>IF($Q130="","",YEAR($Q130))</f>
        <v/>
      </c>
      <c r="V130" s="40">
        <f>IF($Q130="","",MONTH($Q130))</f>
        <v/>
      </c>
    </row>
    <row r="131">
      <c r="A131" s="37" t="n"/>
      <c r="B131" s="38" t="n"/>
      <c r="C131" s="38" t="n"/>
      <c r="D131" s="38" t="n"/>
      <c r="E131" s="38" t="n"/>
      <c r="F131" s="38" t="n"/>
      <c r="G131" s="39" t="n"/>
      <c r="H131" s="38" t="n"/>
      <c r="I131" s="25">
        <f>IF($G131="","",IF(AND($H131="Sí",IFERROR(INDEX(Parámetros!$B$54:$B$60,MATCH($C131,Parámetros!$A$54:$A$60,0)),0)=1),ROUND($G131/(1+Parámetros!$B$13),0),$G131))</f>
        <v/>
      </c>
      <c r="J131" s="25">
        <f>IF($G131="","",IF(IFERROR(INDEX(Parámetros!$B$54:$B$60,MATCH($C131,Parámetros!$A$54:$A$60,0)),0)=1,ROUND($I131*Parámetros!$B$13,0),0))</f>
        <v/>
      </c>
      <c r="K131" s="25">
        <f>IF($G131="","",IF(IFERROR(INDEX(Parámetros!$C$54:$C$60,MATCH($C131,Parámetros!$A$54:$A$60,0)),0)=1,$J131,0))</f>
        <v/>
      </c>
      <c r="L131" s="25">
        <f>IF($G131="","",IF(IFERROR(INDEX(Parámetros!$D$54:$D$60,MATCH($C131,Parámetros!$A$54:$A$60,0)),0)=1,ROUND($I131*Parámetros!$B$16,0),0))</f>
        <v/>
      </c>
      <c r="M131" s="25">
        <f>IF($G131="","",$I131+$J131)</f>
        <v/>
      </c>
      <c r="N131" s="25">
        <f>IF($G131="","",$M131-$L131)</f>
        <v/>
      </c>
      <c r="O131" s="38" t="n"/>
      <c r="P131" s="38" t="n"/>
      <c r="Q131" s="37" t="n"/>
      <c r="R131" s="38" t="n"/>
      <c r="S131" s="40">
        <f>IF($A131="","",YEAR($A131))</f>
        <v/>
      </c>
      <c r="T131" s="40">
        <f>IF($A131="","",MONTH($A131))</f>
        <v/>
      </c>
      <c r="U131" s="40">
        <f>IF($Q131="","",YEAR($Q131))</f>
        <v/>
      </c>
      <c r="V131" s="40">
        <f>IF($Q131="","",MONTH($Q131))</f>
        <v/>
      </c>
    </row>
    <row r="132">
      <c r="A132" s="37" t="n"/>
      <c r="B132" s="38" t="n"/>
      <c r="C132" s="38" t="n"/>
      <c r="D132" s="38" t="n"/>
      <c r="E132" s="38" t="n"/>
      <c r="F132" s="38" t="n"/>
      <c r="G132" s="39" t="n"/>
      <c r="H132" s="38" t="n"/>
      <c r="I132" s="25">
        <f>IF($G132="","",IF(AND($H132="Sí",IFERROR(INDEX(Parámetros!$B$54:$B$60,MATCH($C132,Parámetros!$A$54:$A$60,0)),0)=1),ROUND($G132/(1+Parámetros!$B$13),0),$G132))</f>
        <v/>
      </c>
      <c r="J132" s="25">
        <f>IF($G132="","",IF(IFERROR(INDEX(Parámetros!$B$54:$B$60,MATCH($C132,Parámetros!$A$54:$A$60,0)),0)=1,ROUND($I132*Parámetros!$B$13,0),0))</f>
        <v/>
      </c>
      <c r="K132" s="25">
        <f>IF($G132="","",IF(IFERROR(INDEX(Parámetros!$C$54:$C$60,MATCH($C132,Parámetros!$A$54:$A$60,0)),0)=1,$J132,0))</f>
        <v/>
      </c>
      <c r="L132" s="25">
        <f>IF($G132="","",IF(IFERROR(INDEX(Parámetros!$D$54:$D$60,MATCH($C132,Parámetros!$A$54:$A$60,0)),0)=1,ROUND($I132*Parámetros!$B$16,0),0))</f>
        <v/>
      </c>
      <c r="M132" s="25">
        <f>IF($G132="","",$I132+$J132)</f>
        <v/>
      </c>
      <c r="N132" s="25">
        <f>IF($G132="","",$M132-$L132)</f>
        <v/>
      </c>
      <c r="O132" s="38" t="n"/>
      <c r="P132" s="38" t="n"/>
      <c r="Q132" s="37" t="n"/>
      <c r="R132" s="38" t="n"/>
      <c r="S132" s="40">
        <f>IF($A132="","",YEAR($A132))</f>
        <v/>
      </c>
      <c r="T132" s="40">
        <f>IF($A132="","",MONTH($A132))</f>
        <v/>
      </c>
      <c r="U132" s="40">
        <f>IF($Q132="","",YEAR($Q132))</f>
        <v/>
      </c>
      <c r="V132" s="40">
        <f>IF($Q132="","",MONTH($Q132))</f>
        <v/>
      </c>
    </row>
    <row r="133">
      <c r="A133" s="37" t="n"/>
      <c r="B133" s="38" t="n"/>
      <c r="C133" s="38" t="n"/>
      <c r="D133" s="38" t="n"/>
      <c r="E133" s="38" t="n"/>
      <c r="F133" s="38" t="n"/>
      <c r="G133" s="39" t="n"/>
      <c r="H133" s="38" t="n"/>
      <c r="I133" s="25">
        <f>IF($G133="","",IF(AND($H133="Sí",IFERROR(INDEX(Parámetros!$B$54:$B$60,MATCH($C133,Parámetros!$A$54:$A$60,0)),0)=1),ROUND($G133/(1+Parámetros!$B$13),0),$G133))</f>
        <v/>
      </c>
      <c r="J133" s="25">
        <f>IF($G133="","",IF(IFERROR(INDEX(Parámetros!$B$54:$B$60,MATCH($C133,Parámetros!$A$54:$A$60,0)),0)=1,ROUND($I133*Parámetros!$B$13,0),0))</f>
        <v/>
      </c>
      <c r="K133" s="25">
        <f>IF($G133="","",IF(IFERROR(INDEX(Parámetros!$C$54:$C$60,MATCH($C133,Parámetros!$A$54:$A$60,0)),0)=1,$J133,0))</f>
        <v/>
      </c>
      <c r="L133" s="25">
        <f>IF($G133="","",IF(IFERROR(INDEX(Parámetros!$D$54:$D$60,MATCH($C133,Parámetros!$A$54:$A$60,0)),0)=1,ROUND($I133*Parámetros!$B$16,0),0))</f>
        <v/>
      </c>
      <c r="M133" s="25">
        <f>IF($G133="","",$I133+$J133)</f>
        <v/>
      </c>
      <c r="N133" s="25">
        <f>IF($G133="","",$M133-$L133)</f>
        <v/>
      </c>
      <c r="O133" s="38" t="n"/>
      <c r="P133" s="38" t="n"/>
      <c r="Q133" s="37" t="n"/>
      <c r="R133" s="38" t="n"/>
      <c r="S133" s="40">
        <f>IF($A133="","",YEAR($A133))</f>
        <v/>
      </c>
      <c r="T133" s="40">
        <f>IF($A133="","",MONTH($A133))</f>
        <v/>
      </c>
      <c r="U133" s="40">
        <f>IF($Q133="","",YEAR($Q133))</f>
        <v/>
      </c>
      <c r="V133" s="40">
        <f>IF($Q133="","",MONTH($Q133))</f>
        <v/>
      </c>
    </row>
    <row r="134">
      <c r="A134" s="37" t="n"/>
      <c r="B134" s="38" t="n"/>
      <c r="C134" s="38" t="n"/>
      <c r="D134" s="38" t="n"/>
      <c r="E134" s="38" t="n"/>
      <c r="F134" s="38" t="n"/>
      <c r="G134" s="39" t="n"/>
      <c r="H134" s="38" t="n"/>
      <c r="I134" s="25">
        <f>IF($G134="","",IF(AND($H134="Sí",IFERROR(INDEX(Parámetros!$B$54:$B$60,MATCH($C134,Parámetros!$A$54:$A$60,0)),0)=1),ROUND($G134/(1+Parámetros!$B$13),0),$G134))</f>
        <v/>
      </c>
      <c r="J134" s="25">
        <f>IF($G134="","",IF(IFERROR(INDEX(Parámetros!$B$54:$B$60,MATCH($C134,Parámetros!$A$54:$A$60,0)),0)=1,ROUND($I134*Parámetros!$B$13,0),0))</f>
        <v/>
      </c>
      <c r="K134" s="25">
        <f>IF($G134="","",IF(IFERROR(INDEX(Parámetros!$C$54:$C$60,MATCH($C134,Parámetros!$A$54:$A$60,0)),0)=1,$J134,0))</f>
        <v/>
      </c>
      <c r="L134" s="25">
        <f>IF($G134="","",IF(IFERROR(INDEX(Parámetros!$D$54:$D$60,MATCH($C134,Parámetros!$A$54:$A$60,0)),0)=1,ROUND($I134*Parámetros!$B$16,0),0))</f>
        <v/>
      </c>
      <c r="M134" s="25">
        <f>IF($G134="","",$I134+$J134)</f>
        <v/>
      </c>
      <c r="N134" s="25">
        <f>IF($G134="","",$M134-$L134)</f>
        <v/>
      </c>
      <c r="O134" s="38" t="n"/>
      <c r="P134" s="38" t="n"/>
      <c r="Q134" s="37" t="n"/>
      <c r="R134" s="38" t="n"/>
      <c r="S134" s="40">
        <f>IF($A134="","",YEAR($A134))</f>
        <v/>
      </c>
      <c r="T134" s="40">
        <f>IF($A134="","",MONTH($A134))</f>
        <v/>
      </c>
      <c r="U134" s="40">
        <f>IF($Q134="","",YEAR($Q134))</f>
        <v/>
      </c>
      <c r="V134" s="40">
        <f>IF($Q134="","",MONTH($Q134))</f>
        <v/>
      </c>
    </row>
    <row r="135">
      <c r="A135" s="37" t="n"/>
      <c r="B135" s="38" t="n"/>
      <c r="C135" s="38" t="n"/>
      <c r="D135" s="38" t="n"/>
      <c r="E135" s="38" t="n"/>
      <c r="F135" s="38" t="n"/>
      <c r="G135" s="39" t="n"/>
      <c r="H135" s="38" t="n"/>
      <c r="I135" s="25">
        <f>IF($G135="","",IF(AND($H135="Sí",IFERROR(INDEX(Parámetros!$B$54:$B$60,MATCH($C135,Parámetros!$A$54:$A$60,0)),0)=1),ROUND($G135/(1+Parámetros!$B$13),0),$G135))</f>
        <v/>
      </c>
      <c r="J135" s="25">
        <f>IF($G135="","",IF(IFERROR(INDEX(Parámetros!$B$54:$B$60,MATCH($C135,Parámetros!$A$54:$A$60,0)),0)=1,ROUND($I135*Parámetros!$B$13,0),0))</f>
        <v/>
      </c>
      <c r="K135" s="25">
        <f>IF($G135="","",IF(IFERROR(INDEX(Parámetros!$C$54:$C$60,MATCH($C135,Parámetros!$A$54:$A$60,0)),0)=1,$J135,0))</f>
        <v/>
      </c>
      <c r="L135" s="25">
        <f>IF($G135="","",IF(IFERROR(INDEX(Parámetros!$D$54:$D$60,MATCH($C135,Parámetros!$A$54:$A$60,0)),0)=1,ROUND($I135*Parámetros!$B$16,0),0))</f>
        <v/>
      </c>
      <c r="M135" s="25">
        <f>IF($G135="","",$I135+$J135)</f>
        <v/>
      </c>
      <c r="N135" s="25">
        <f>IF($G135="","",$M135-$L135)</f>
        <v/>
      </c>
      <c r="O135" s="38" t="n"/>
      <c r="P135" s="38" t="n"/>
      <c r="Q135" s="37" t="n"/>
      <c r="R135" s="38" t="n"/>
      <c r="S135" s="40">
        <f>IF($A135="","",YEAR($A135))</f>
        <v/>
      </c>
      <c r="T135" s="40">
        <f>IF($A135="","",MONTH($A135))</f>
        <v/>
      </c>
      <c r="U135" s="40">
        <f>IF($Q135="","",YEAR($Q135))</f>
        <v/>
      </c>
      <c r="V135" s="40">
        <f>IF($Q135="","",MONTH($Q135))</f>
        <v/>
      </c>
    </row>
    <row r="136">
      <c r="A136" s="37" t="n"/>
      <c r="B136" s="38" t="n"/>
      <c r="C136" s="38" t="n"/>
      <c r="D136" s="38" t="n"/>
      <c r="E136" s="38" t="n"/>
      <c r="F136" s="38" t="n"/>
      <c r="G136" s="39" t="n"/>
      <c r="H136" s="38" t="n"/>
      <c r="I136" s="25">
        <f>IF($G136="","",IF(AND($H136="Sí",IFERROR(INDEX(Parámetros!$B$54:$B$60,MATCH($C136,Parámetros!$A$54:$A$60,0)),0)=1),ROUND($G136/(1+Parámetros!$B$13),0),$G136))</f>
        <v/>
      </c>
      <c r="J136" s="25">
        <f>IF($G136="","",IF(IFERROR(INDEX(Parámetros!$B$54:$B$60,MATCH($C136,Parámetros!$A$54:$A$60,0)),0)=1,ROUND($I136*Parámetros!$B$13,0),0))</f>
        <v/>
      </c>
      <c r="K136" s="25">
        <f>IF($G136="","",IF(IFERROR(INDEX(Parámetros!$C$54:$C$60,MATCH($C136,Parámetros!$A$54:$A$60,0)),0)=1,$J136,0))</f>
        <v/>
      </c>
      <c r="L136" s="25">
        <f>IF($G136="","",IF(IFERROR(INDEX(Parámetros!$D$54:$D$60,MATCH($C136,Parámetros!$A$54:$A$60,0)),0)=1,ROUND($I136*Parámetros!$B$16,0),0))</f>
        <v/>
      </c>
      <c r="M136" s="25">
        <f>IF($G136="","",$I136+$J136)</f>
        <v/>
      </c>
      <c r="N136" s="25">
        <f>IF($G136="","",$M136-$L136)</f>
        <v/>
      </c>
      <c r="O136" s="38" t="n"/>
      <c r="P136" s="38" t="n"/>
      <c r="Q136" s="37" t="n"/>
      <c r="R136" s="38" t="n"/>
      <c r="S136" s="40">
        <f>IF($A136="","",YEAR($A136))</f>
        <v/>
      </c>
      <c r="T136" s="40">
        <f>IF($A136="","",MONTH($A136))</f>
        <v/>
      </c>
      <c r="U136" s="40">
        <f>IF($Q136="","",YEAR($Q136))</f>
        <v/>
      </c>
      <c r="V136" s="40">
        <f>IF($Q136="","",MONTH($Q136))</f>
        <v/>
      </c>
    </row>
    <row r="137">
      <c r="A137" s="37" t="n"/>
      <c r="B137" s="38" t="n"/>
      <c r="C137" s="38" t="n"/>
      <c r="D137" s="38" t="n"/>
      <c r="E137" s="38" t="n"/>
      <c r="F137" s="38" t="n"/>
      <c r="G137" s="39" t="n"/>
      <c r="H137" s="38" t="n"/>
      <c r="I137" s="25">
        <f>IF($G137="","",IF(AND($H137="Sí",IFERROR(INDEX(Parámetros!$B$54:$B$60,MATCH($C137,Parámetros!$A$54:$A$60,0)),0)=1),ROUND($G137/(1+Parámetros!$B$13),0),$G137))</f>
        <v/>
      </c>
      <c r="J137" s="25">
        <f>IF($G137="","",IF(IFERROR(INDEX(Parámetros!$B$54:$B$60,MATCH($C137,Parámetros!$A$54:$A$60,0)),0)=1,ROUND($I137*Parámetros!$B$13,0),0))</f>
        <v/>
      </c>
      <c r="K137" s="25">
        <f>IF($G137="","",IF(IFERROR(INDEX(Parámetros!$C$54:$C$60,MATCH($C137,Parámetros!$A$54:$A$60,0)),0)=1,$J137,0))</f>
        <v/>
      </c>
      <c r="L137" s="25">
        <f>IF($G137="","",IF(IFERROR(INDEX(Parámetros!$D$54:$D$60,MATCH($C137,Parámetros!$A$54:$A$60,0)),0)=1,ROUND($I137*Parámetros!$B$16,0),0))</f>
        <v/>
      </c>
      <c r="M137" s="25">
        <f>IF($G137="","",$I137+$J137)</f>
        <v/>
      </c>
      <c r="N137" s="25">
        <f>IF($G137="","",$M137-$L137)</f>
        <v/>
      </c>
      <c r="O137" s="38" t="n"/>
      <c r="P137" s="38" t="n"/>
      <c r="Q137" s="37" t="n"/>
      <c r="R137" s="38" t="n"/>
      <c r="S137" s="40">
        <f>IF($A137="","",YEAR($A137))</f>
        <v/>
      </c>
      <c r="T137" s="40">
        <f>IF($A137="","",MONTH($A137))</f>
        <v/>
      </c>
      <c r="U137" s="40">
        <f>IF($Q137="","",YEAR($Q137))</f>
        <v/>
      </c>
      <c r="V137" s="40">
        <f>IF($Q137="","",MONTH($Q137))</f>
        <v/>
      </c>
    </row>
    <row r="138">
      <c r="A138" s="37" t="n"/>
      <c r="B138" s="38" t="n"/>
      <c r="C138" s="38" t="n"/>
      <c r="D138" s="38" t="n"/>
      <c r="E138" s="38" t="n"/>
      <c r="F138" s="38" t="n"/>
      <c r="G138" s="39" t="n"/>
      <c r="H138" s="38" t="n"/>
      <c r="I138" s="25">
        <f>IF($G138="","",IF(AND($H138="Sí",IFERROR(INDEX(Parámetros!$B$54:$B$60,MATCH($C138,Parámetros!$A$54:$A$60,0)),0)=1),ROUND($G138/(1+Parámetros!$B$13),0),$G138))</f>
        <v/>
      </c>
      <c r="J138" s="25">
        <f>IF($G138="","",IF(IFERROR(INDEX(Parámetros!$B$54:$B$60,MATCH($C138,Parámetros!$A$54:$A$60,0)),0)=1,ROUND($I138*Parámetros!$B$13,0),0))</f>
        <v/>
      </c>
      <c r="K138" s="25">
        <f>IF($G138="","",IF(IFERROR(INDEX(Parámetros!$C$54:$C$60,MATCH($C138,Parámetros!$A$54:$A$60,0)),0)=1,$J138,0))</f>
        <v/>
      </c>
      <c r="L138" s="25">
        <f>IF($G138="","",IF(IFERROR(INDEX(Parámetros!$D$54:$D$60,MATCH($C138,Parámetros!$A$54:$A$60,0)),0)=1,ROUND($I138*Parámetros!$B$16,0),0))</f>
        <v/>
      </c>
      <c r="M138" s="25">
        <f>IF($G138="","",$I138+$J138)</f>
        <v/>
      </c>
      <c r="N138" s="25">
        <f>IF($G138="","",$M138-$L138)</f>
        <v/>
      </c>
      <c r="O138" s="38" t="n"/>
      <c r="P138" s="38" t="n"/>
      <c r="Q138" s="37" t="n"/>
      <c r="R138" s="38" t="n"/>
      <c r="S138" s="40">
        <f>IF($A138="","",YEAR($A138))</f>
        <v/>
      </c>
      <c r="T138" s="40">
        <f>IF($A138="","",MONTH($A138))</f>
        <v/>
      </c>
      <c r="U138" s="40">
        <f>IF($Q138="","",YEAR($Q138))</f>
        <v/>
      </c>
      <c r="V138" s="40">
        <f>IF($Q138="","",MONTH($Q138))</f>
        <v/>
      </c>
    </row>
    <row r="139">
      <c r="A139" s="37" t="n"/>
      <c r="B139" s="38" t="n"/>
      <c r="C139" s="38" t="n"/>
      <c r="D139" s="38" t="n"/>
      <c r="E139" s="38" t="n"/>
      <c r="F139" s="38" t="n"/>
      <c r="G139" s="39" t="n"/>
      <c r="H139" s="38" t="n"/>
      <c r="I139" s="25">
        <f>IF($G139="","",IF(AND($H139="Sí",IFERROR(INDEX(Parámetros!$B$54:$B$60,MATCH($C139,Parámetros!$A$54:$A$60,0)),0)=1),ROUND($G139/(1+Parámetros!$B$13),0),$G139))</f>
        <v/>
      </c>
      <c r="J139" s="25">
        <f>IF($G139="","",IF(IFERROR(INDEX(Parámetros!$B$54:$B$60,MATCH($C139,Parámetros!$A$54:$A$60,0)),0)=1,ROUND($I139*Parámetros!$B$13,0),0))</f>
        <v/>
      </c>
      <c r="K139" s="25">
        <f>IF($G139="","",IF(IFERROR(INDEX(Parámetros!$C$54:$C$60,MATCH($C139,Parámetros!$A$54:$A$60,0)),0)=1,$J139,0))</f>
        <v/>
      </c>
      <c r="L139" s="25">
        <f>IF($G139="","",IF(IFERROR(INDEX(Parámetros!$D$54:$D$60,MATCH($C139,Parámetros!$A$54:$A$60,0)),0)=1,ROUND($I139*Parámetros!$B$16,0),0))</f>
        <v/>
      </c>
      <c r="M139" s="25">
        <f>IF($G139="","",$I139+$J139)</f>
        <v/>
      </c>
      <c r="N139" s="25">
        <f>IF($G139="","",$M139-$L139)</f>
        <v/>
      </c>
      <c r="O139" s="38" t="n"/>
      <c r="P139" s="38" t="n"/>
      <c r="Q139" s="37" t="n"/>
      <c r="R139" s="38" t="n"/>
      <c r="S139" s="40">
        <f>IF($A139="","",YEAR($A139))</f>
        <v/>
      </c>
      <c r="T139" s="40">
        <f>IF($A139="","",MONTH($A139))</f>
        <v/>
      </c>
      <c r="U139" s="40">
        <f>IF($Q139="","",YEAR($Q139))</f>
        <v/>
      </c>
      <c r="V139" s="40">
        <f>IF($Q139="","",MONTH($Q139))</f>
        <v/>
      </c>
    </row>
    <row r="140">
      <c r="A140" s="37" t="n"/>
      <c r="B140" s="38" t="n"/>
      <c r="C140" s="38" t="n"/>
      <c r="D140" s="38" t="n"/>
      <c r="E140" s="38" t="n"/>
      <c r="F140" s="38" t="n"/>
      <c r="G140" s="39" t="n"/>
      <c r="H140" s="38" t="n"/>
      <c r="I140" s="25">
        <f>IF($G140="","",IF(AND($H140="Sí",IFERROR(INDEX(Parámetros!$B$54:$B$60,MATCH($C140,Parámetros!$A$54:$A$60,0)),0)=1),ROUND($G140/(1+Parámetros!$B$13),0),$G140))</f>
        <v/>
      </c>
      <c r="J140" s="25">
        <f>IF($G140="","",IF(IFERROR(INDEX(Parámetros!$B$54:$B$60,MATCH($C140,Parámetros!$A$54:$A$60,0)),0)=1,ROUND($I140*Parámetros!$B$13,0),0))</f>
        <v/>
      </c>
      <c r="K140" s="25">
        <f>IF($G140="","",IF(IFERROR(INDEX(Parámetros!$C$54:$C$60,MATCH($C140,Parámetros!$A$54:$A$60,0)),0)=1,$J140,0))</f>
        <v/>
      </c>
      <c r="L140" s="25">
        <f>IF($G140="","",IF(IFERROR(INDEX(Parámetros!$D$54:$D$60,MATCH($C140,Parámetros!$A$54:$A$60,0)),0)=1,ROUND($I140*Parámetros!$B$16,0),0))</f>
        <v/>
      </c>
      <c r="M140" s="25">
        <f>IF($G140="","",$I140+$J140)</f>
        <v/>
      </c>
      <c r="N140" s="25">
        <f>IF($G140="","",$M140-$L140)</f>
        <v/>
      </c>
      <c r="O140" s="38" t="n"/>
      <c r="P140" s="38" t="n"/>
      <c r="Q140" s="37" t="n"/>
      <c r="R140" s="38" t="n"/>
      <c r="S140" s="40">
        <f>IF($A140="","",YEAR($A140))</f>
        <v/>
      </c>
      <c r="T140" s="40">
        <f>IF($A140="","",MONTH($A140))</f>
        <v/>
      </c>
      <c r="U140" s="40">
        <f>IF($Q140="","",YEAR($Q140))</f>
        <v/>
      </c>
      <c r="V140" s="40">
        <f>IF($Q140="","",MONTH($Q140))</f>
        <v/>
      </c>
    </row>
    <row r="141">
      <c r="A141" s="37" t="n"/>
      <c r="B141" s="38" t="n"/>
      <c r="C141" s="38" t="n"/>
      <c r="D141" s="38" t="n"/>
      <c r="E141" s="38" t="n"/>
      <c r="F141" s="38" t="n"/>
      <c r="G141" s="39" t="n"/>
      <c r="H141" s="38" t="n"/>
      <c r="I141" s="25">
        <f>IF($G141="","",IF(AND($H141="Sí",IFERROR(INDEX(Parámetros!$B$54:$B$60,MATCH($C141,Parámetros!$A$54:$A$60,0)),0)=1),ROUND($G141/(1+Parámetros!$B$13),0),$G141))</f>
        <v/>
      </c>
      <c r="J141" s="25">
        <f>IF($G141="","",IF(IFERROR(INDEX(Parámetros!$B$54:$B$60,MATCH($C141,Parámetros!$A$54:$A$60,0)),0)=1,ROUND($I141*Parámetros!$B$13,0),0))</f>
        <v/>
      </c>
      <c r="K141" s="25">
        <f>IF($G141="","",IF(IFERROR(INDEX(Parámetros!$C$54:$C$60,MATCH($C141,Parámetros!$A$54:$A$60,0)),0)=1,$J141,0))</f>
        <v/>
      </c>
      <c r="L141" s="25">
        <f>IF($G141="","",IF(IFERROR(INDEX(Parámetros!$D$54:$D$60,MATCH($C141,Parámetros!$A$54:$A$60,0)),0)=1,ROUND($I141*Parámetros!$B$16,0),0))</f>
        <v/>
      </c>
      <c r="M141" s="25">
        <f>IF($G141="","",$I141+$J141)</f>
        <v/>
      </c>
      <c r="N141" s="25">
        <f>IF($G141="","",$M141-$L141)</f>
        <v/>
      </c>
      <c r="O141" s="38" t="n"/>
      <c r="P141" s="38" t="n"/>
      <c r="Q141" s="37" t="n"/>
      <c r="R141" s="38" t="n"/>
      <c r="S141" s="40">
        <f>IF($A141="","",YEAR($A141))</f>
        <v/>
      </c>
      <c r="T141" s="40">
        <f>IF($A141="","",MONTH($A141))</f>
        <v/>
      </c>
      <c r="U141" s="40">
        <f>IF($Q141="","",YEAR($Q141))</f>
        <v/>
      </c>
      <c r="V141" s="40">
        <f>IF($Q141="","",MONTH($Q141))</f>
        <v/>
      </c>
    </row>
    <row r="142">
      <c r="A142" s="37" t="n"/>
      <c r="B142" s="38" t="n"/>
      <c r="C142" s="38" t="n"/>
      <c r="D142" s="38" t="n"/>
      <c r="E142" s="38" t="n"/>
      <c r="F142" s="38" t="n"/>
      <c r="G142" s="39" t="n"/>
      <c r="H142" s="38" t="n"/>
      <c r="I142" s="25">
        <f>IF($G142="","",IF(AND($H142="Sí",IFERROR(INDEX(Parámetros!$B$54:$B$60,MATCH($C142,Parámetros!$A$54:$A$60,0)),0)=1),ROUND($G142/(1+Parámetros!$B$13),0),$G142))</f>
        <v/>
      </c>
      <c r="J142" s="25">
        <f>IF($G142="","",IF(IFERROR(INDEX(Parámetros!$B$54:$B$60,MATCH($C142,Parámetros!$A$54:$A$60,0)),0)=1,ROUND($I142*Parámetros!$B$13,0),0))</f>
        <v/>
      </c>
      <c r="K142" s="25">
        <f>IF($G142="","",IF(IFERROR(INDEX(Parámetros!$C$54:$C$60,MATCH($C142,Parámetros!$A$54:$A$60,0)),0)=1,$J142,0))</f>
        <v/>
      </c>
      <c r="L142" s="25">
        <f>IF($G142="","",IF(IFERROR(INDEX(Parámetros!$D$54:$D$60,MATCH($C142,Parámetros!$A$54:$A$60,0)),0)=1,ROUND($I142*Parámetros!$B$16,0),0))</f>
        <v/>
      </c>
      <c r="M142" s="25">
        <f>IF($G142="","",$I142+$J142)</f>
        <v/>
      </c>
      <c r="N142" s="25">
        <f>IF($G142="","",$M142-$L142)</f>
        <v/>
      </c>
      <c r="O142" s="38" t="n"/>
      <c r="P142" s="38" t="n"/>
      <c r="Q142" s="37" t="n"/>
      <c r="R142" s="38" t="n"/>
      <c r="S142" s="40">
        <f>IF($A142="","",YEAR($A142))</f>
        <v/>
      </c>
      <c r="T142" s="40">
        <f>IF($A142="","",MONTH($A142))</f>
        <v/>
      </c>
      <c r="U142" s="40">
        <f>IF($Q142="","",YEAR($Q142))</f>
        <v/>
      </c>
      <c r="V142" s="40">
        <f>IF($Q142="","",MONTH($Q142))</f>
        <v/>
      </c>
    </row>
    <row r="143">
      <c r="A143" s="37" t="n"/>
      <c r="B143" s="38" t="n"/>
      <c r="C143" s="38" t="n"/>
      <c r="D143" s="38" t="n"/>
      <c r="E143" s="38" t="n"/>
      <c r="F143" s="38" t="n"/>
      <c r="G143" s="39" t="n"/>
      <c r="H143" s="38" t="n"/>
      <c r="I143" s="25">
        <f>IF($G143="","",IF(AND($H143="Sí",IFERROR(INDEX(Parámetros!$B$54:$B$60,MATCH($C143,Parámetros!$A$54:$A$60,0)),0)=1),ROUND($G143/(1+Parámetros!$B$13),0),$G143))</f>
        <v/>
      </c>
      <c r="J143" s="25">
        <f>IF($G143="","",IF(IFERROR(INDEX(Parámetros!$B$54:$B$60,MATCH($C143,Parámetros!$A$54:$A$60,0)),0)=1,ROUND($I143*Parámetros!$B$13,0),0))</f>
        <v/>
      </c>
      <c r="K143" s="25">
        <f>IF($G143="","",IF(IFERROR(INDEX(Parámetros!$C$54:$C$60,MATCH($C143,Parámetros!$A$54:$A$60,0)),0)=1,$J143,0))</f>
        <v/>
      </c>
      <c r="L143" s="25">
        <f>IF($G143="","",IF(IFERROR(INDEX(Parámetros!$D$54:$D$60,MATCH($C143,Parámetros!$A$54:$A$60,0)),0)=1,ROUND($I143*Parámetros!$B$16,0),0))</f>
        <v/>
      </c>
      <c r="M143" s="25">
        <f>IF($G143="","",$I143+$J143)</f>
        <v/>
      </c>
      <c r="N143" s="25">
        <f>IF($G143="","",$M143-$L143)</f>
        <v/>
      </c>
      <c r="O143" s="38" t="n"/>
      <c r="P143" s="38" t="n"/>
      <c r="Q143" s="37" t="n"/>
      <c r="R143" s="38" t="n"/>
      <c r="S143" s="40">
        <f>IF($A143="","",YEAR($A143))</f>
        <v/>
      </c>
      <c r="T143" s="40">
        <f>IF($A143="","",MONTH($A143))</f>
        <v/>
      </c>
      <c r="U143" s="40">
        <f>IF($Q143="","",YEAR($Q143))</f>
        <v/>
      </c>
      <c r="V143" s="40">
        <f>IF($Q143="","",MONTH($Q143))</f>
        <v/>
      </c>
    </row>
    <row r="144">
      <c r="A144" s="37" t="n"/>
      <c r="B144" s="38" t="n"/>
      <c r="C144" s="38" t="n"/>
      <c r="D144" s="38" t="n"/>
      <c r="E144" s="38" t="n"/>
      <c r="F144" s="38" t="n"/>
      <c r="G144" s="39" t="n"/>
      <c r="H144" s="38" t="n"/>
      <c r="I144" s="25">
        <f>IF($G144="","",IF(AND($H144="Sí",IFERROR(INDEX(Parámetros!$B$54:$B$60,MATCH($C144,Parámetros!$A$54:$A$60,0)),0)=1),ROUND($G144/(1+Parámetros!$B$13),0),$G144))</f>
        <v/>
      </c>
      <c r="J144" s="25">
        <f>IF($G144="","",IF(IFERROR(INDEX(Parámetros!$B$54:$B$60,MATCH($C144,Parámetros!$A$54:$A$60,0)),0)=1,ROUND($I144*Parámetros!$B$13,0),0))</f>
        <v/>
      </c>
      <c r="K144" s="25">
        <f>IF($G144="","",IF(IFERROR(INDEX(Parámetros!$C$54:$C$60,MATCH($C144,Parámetros!$A$54:$A$60,0)),0)=1,$J144,0))</f>
        <v/>
      </c>
      <c r="L144" s="25">
        <f>IF($G144="","",IF(IFERROR(INDEX(Parámetros!$D$54:$D$60,MATCH($C144,Parámetros!$A$54:$A$60,0)),0)=1,ROUND($I144*Parámetros!$B$16,0),0))</f>
        <v/>
      </c>
      <c r="M144" s="25">
        <f>IF($G144="","",$I144+$J144)</f>
        <v/>
      </c>
      <c r="N144" s="25">
        <f>IF($G144="","",$M144-$L144)</f>
        <v/>
      </c>
      <c r="O144" s="38" t="n"/>
      <c r="P144" s="38" t="n"/>
      <c r="Q144" s="37" t="n"/>
      <c r="R144" s="38" t="n"/>
      <c r="S144" s="40">
        <f>IF($A144="","",YEAR($A144))</f>
        <v/>
      </c>
      <c r="T144" s="40">
        <f>IF($A144="","",MONTH($A144))</f>
        <v/>
      </c>
      <c r="U144" s="40">
        <f>IF($Q144="","",YEAR($Q144))</f>
        <v/>
      </c>
      <c r="V144" s="40">
        <f>IF($Q144="","",MONTH($Q144))</f>
        <v/>
      </c>
    </row>
    <row r="145">
      <c r="A145" s="37" t="n"/>
      <c r="B145" s="38" t="n"/>
      <c r="C145" s="38" t="n"/>
      <c r="D145" s="38" t="n"/>
      <c r="E145" s="38" t="n"/>
      <c r="F145" s="38" t="n"/>
      <c r="G145" s="39" t="n"/>
      <c r="H145" s="38" t="n"/>
      <c r="I145" s="25">
        <f>IF($G145="","",IF(AND($H145="Sí",IFERROR(INDEX(Parámetros!$B$54:$B$60,MATCH($C145,Parámetros!$A$54:$A$60,0)),0)=1),ROUND($G145/(1+Parámetros!$B$13),0),$G145))</f>
        <v/>
      </c>
      <c r="J145" s="25">
        <f>IF($G145="","",IF(IFERROR(INDEX(Parámetros!$B$54:$B$60,MATCH($C145,Parámetros!$A$54:$A$60,0)),0)=1,ROUND($I145*Parámetros!$B$13,0),0))</f>
        <v/>
      </c>
      <c r="K145" s="25">
        <f>IF($G145="","",IF(IFERROR(INDEX(Parámetros!$C$54:$C$60,MATCH($C145,Parámetros!$A$54:$A$60,0)),0)=1,$J145,0))</f>
        <v/>
      </c>
      <c r="L145" s="25">
        <f>IF($G145="","",IF(IFERROR(INDEX(Parámetros!$D$54:$D$60,MATCH($C145,Parámetros!$A$54:$A$60,0)),0)=1,ROUND($I145*Parámetros!$B$16,0),0))</f>
        <v/>
      </c>
      <c r="M145" s="25">
        <f>IF($G145="","",$I145+$J145)</f>
        <v/>
      </c>
      <c r="N145" s="25">
        <f>IF($G145="","",$M145-$L145)</f>
        <v/>
      </c>
      <c r="O145" s="38" t="n"/>
      <c r="P145" s="38" t="n"/>
      <c r="Q145" s="37" t="n"/>
      <c r="R145" s="38" t="n"/>
      <c r="S145" s="40">
        <f>IF($A145="","",YEAR($A145))</f>
        <v/>
      </c>
      <c r="T145" s="40">
        <f>IF($A145="","",MONTH($A145))</f>
        <v/>
      </c>
      <c r="U145" s="40">
        <f>IF($Q145="","",YEAR($Q145))</f>
        <v/>
      </c>
      <c r="V145" s="40">
        <f>IF($Q145="","",MONTH($Q145))</f>
        <v/>
      </c>
    </row>
    <row r="146">
      <c r="A146" s="37" t="n"/>
      <c r="B146" s="38" t="n"/>
      <c r="C146" s="38" t="n"/>
      <c r="D146" s="38" t="n"/>
      <c r="E146" s="38" t="n"/>
      <c r="F146" s="38" t="n"/>
      <c r="G146" s="39" t="n"/>
      <c r="H146" s="38" t="n"/>
      <c r="I146" s="25">
        <f>IF($G146="","",IF(AND($H146="Sí",IFERROR(INDEX(Parámetros!$B$54:$B$60,MATCH($C146,Parámetros!$A$54:$A$60,0)),0)=1),ROUND($G146/(1+Parámetros!$B$13),0),$G146))</f>
        <v/>
      </c>
      <c r="J146" s="25">
        <f>IF($G146="","",IF(IFERROR(INDEX(Parámetros!$B$54:$B$60,MATCH($C146,Parámetros!$A$54:$A$60,0)),0)=1,ROUND($I146*Parámetros!$B$13,0),0))</f>
        <v/>
      </c>
      <c r="K146" s="25">
        <f>IF($G146="","",IF(IFERROR(INDEX(Parámetros!$C$54:$C$60,MATCH($C146,Parámetros!$A$54:$A$60,0)),0)=1,$J146,0))</f>
        <v/>
      </c>
      <c r="L146" s="25">
        <f>IF($G146="","",IF(IFERROR(INDEX(Parámetros!$D$54:$D$60,MATCH($C146,Parámetros!$A$54:$A$60,0)),0)=1,ROUND($I146*Parámetros!$B$16,0),0))</f>
        <v/>
      </c>
      <c r="M146" s="25">
        <f>IF($G146="","",$I146+$J146)</f>
        <v/>
      </c>
      <c r="N146" s="25">
        <f>IF($G146="","",$M146-$L146)</f>
        <v/>
      </c>
      <c r="O146" s="38" t="n"/>
      <c r="P146" s="38" t="n"/>
      <c r="Q146" s="37" t="n"/>
      <c r="R146" s="38" t="n"/>
      <c r="S146" s="40">
        <f>IF($A146="","",YEAR($A146))</f>
        <v/>
      </c>
      <c r="T146" s="40">
        <f>IF($A146="","",MONTH($A146))</f>
        <v/>
      </c>
      <c r="U146" s="40">
        <f>IF($Q146="","",YEAR($Q146))</f>
        <v/>
      </c>
      <c r="V146" s="40">
        <f>IF($Q146="","",MONTH($Q146))</f>
        <v/>
      </c>
    </row>
    <row r="147">
      <c r="A147" s="37" t="n"/>
      <c r="B147" s="38" t="n"/>
      <c r="C147" s="38" t="n"/>
      <c r="D147" s="38" t="n"/>
      <c r="E147" s="38" t="n"/>
      <c r="F147" s="38" t="n"/>
      <c r="G147" s="39" t="n"/>
      <c r="H147" s="38" t="n"/>
      <c r="I147" s="25">
        <f>IF($G147="","",IF(AND($H147="Sí",IFERROR(INDEX(Parámetros!$B$54:$B$60,MATCH($C147,Parámetros!$A$54:$A$60,0)),0)=1),ROUND($G147/(1+Parámetros!$B$13),0),$G147))</f>
        <v/>
      </c>
      <c r="J147" s="25">
        <f>IF($G147="","",IF(IFERROR(INDEX(Parámetros!$B$54:$B$60,MATCH($C147,Parámetros!$A$54:$A$60,0)),0)=1,ROUND($I147*Parámetros!$B$13,0),0))</f>
        <v/>
      </c>
      <c r="K147" s="25">
        <f>IF($G147="","",IF(IFERROR(INDEX(Parámetros!$C$54:$C$60,MATCH($C147,Parámetros!$A$54:$A$60,0)),0)=1,$J147,0))</f>
        <v/>
      </c>
      <c r="L147" s="25">
        <f>IF($G147="","",IF(IFERROR(INDEX(Parámetros!$D$54:$D$60,MATCH($C147,Parámetros!$A$54:$A$60,0)),0)=1,ROUND($I147*Parámetros!$B$16,0),0))</f>
        <v/>
      </c>
      <c r="M147" s="25">
        <f>IF($G147="","",$I147+$J147)</f>
        <v/>
      </c>
      <c r="N147" s="25">
        <f>IF($G147="","",$M147-$L147)</f>
        <v/>
      </c>
      <c r="O147" s="38" t="n"/>
      <c r="P147" s="38" t="n"/>
      <c r="Q147" s="37" t="n"/>
      <c r="R147" s="38" t="n"/>
      <c r="S147" s="40">
        <f>IF($A147="","",YEAR($A147))</f>
        <v/>
      </c>
      <c r="T147" s="40">
        <f>IF($A147="","",MONTH($A147))</f>
        <v/>
      </c>
      <c r="U147" s="40">
        <f>IF($Q147="","",YEAR($Q147))</f>
        <v/>
      </c>
      <c r="V147" s="40">
        <f>IF($Q147="","",MONTH($Q147))</f>
        <v/>
      </c>
    </row>
    <row r="148">
      <c r="A148" s="37" t="n"/>
      <c r="B148" s="38" t="n"/>
      <c r="C148" s="38" t="n"/>
      <c r="D148" s="38" t="n"/>
      <c r="E148" s="38" t="n"/>
      <c r="F148" s="38" t="n"/>
      <c r="G148" s="39" t="n"/>
      <c r="H148" s="38" t="n"/>
      <c r="I148" s="25">
        <f>IF($G148="","",IF(AND($H148="Sí",IFERROR(INDEX(Parámetros!$B$54:$B$60,MATCH($C148,Parámetros!$A$54:$A$60,0)),0)=1),ROUND($G148/(1+Parámetros!$B$13),0),$G148))</f>
        <v/>
      </c>
      <c r="J148" s="25">
        <f>IF($G148="","",IF(IFERROR(INDEX(Parámetros!$B$54:$B$60,MATCH($C148,Parámetros!$A$54:$A$60,0)),0)=1,ROUND($I148*Parámetros!$B$13,0),0))</f>
        <v/>
      </c>
      <c r="K148" s="25">
        <f>IF($G148="","",IF(IFERROR(INDEX(Parámetros!$C$54:$C$60,MATCH($C148,Parámetros!$A$54:$A$60,0)),0)=1,$J148,0))</f>
        <v/>
      </c>
      <c r="L148" s="25">
        <f>IF($G148="","",IF(IFERROR(INDEX(Parámetros!$D$54:$D$60,MATCH($C148,Parámetros!$A$54:$A$60,0)),0)=1,ROUND($I148*Parámetros!$B$16,0),0))</f>
        <v/>
      </c>
      <c r="M148" s="25">
        <f>IF($G148="","",$I148+$J148)</f>
        <v/>
      </c>
      <c r="N148" s="25">
        <f>IF($G148="","",$M148-$L148)</f>
        <v/>
      </c>
      <c r="O148" s="38" t="n"/>
      <c r="P148" s="38" t="n"/>
      <c r="Q148" s="37" t="n"/>
      <c r="R148" s="38" t="n"/>
      <c r="S148" s="40">
        <f>IF($A148="","",YEAR($A148))</f>
        <v/>
      </c>
      <c r="T148" s="40">
        <f>IF($A148="","",MONTH($A148))</f>
        <v/>
      </c>
      <c r="U148" s="40">
        <f>IF($Q148="","",YEAR($Q148))</f>
        <v/>
      </c>
      <c r="V148" s="40">
        <f>IF($Q148="","",MONTH($Q148))</f>
        <v/>
      </c>
    </row>
    <row r="149">
      <c r="A149" s="37" t="n"/>
      <c r="B149" s="38" t="n"/>
      <c r="C149" s="38" t="n"/>
      <c r="D149" s="38" t="n"/>
      <c r="E149" s="38" t="n"/>
      <c r="F149" s="38" t="n"/>
      <c r="G149" s="39" t="n"/>
      <c r="H149" s="38" t="n"/>
      <c r="I149" s="25">
        <f>IF($G149="","",IF(AND($H149="Sí",IFERROR(INDEX(Parámetros!$B$54:$B$60,MATCH($C149,Parámetros!$A$54:$A$60,0)),0)=1),ROUND($G149/(1+Parámetros!$B$13),0),$G149))</f>
        <v/>
      </c>
      <c r="J149" s="25">
        <f>IF($G149="","",IF(IFERROR(INDEX(Parámetros!$B$54:$B$60,MATCH($C149,Parámetros!$A$54:$A$60,0)),0)=1,ROUND($I149*Parámetros!$B$13,0),0))</f>
        <v/>
      </c>
      <c r="K149" s="25">
        <f>IF($G149="","",IF(IFERROR(INDEX(Parámetros!$C$54:$C$60,MATCH($C149,Parámetros!$A$54:$A$60,0)),0)=1,$J149,0))</f>
        <v/>
      </c>
      <c r="L149" s="25">
        <f>IF($G149="","",IF(IFERROR(INDEX(Parámetros!$D$54:$D$60,MATCH($C149,Parámetros!$A$54:$A$60,0)),0)=1,ROUND($I149*Parámetros!$B$16,0),0))</f>
        <v/>
      </c>
      <c r="M149" s="25">
        <f>IF($G149="","",$I149+$J149)</f>
        <v/>
      </c>
      <c r="N149" s="25">
        <f>IF($G149="","",$M149-$L149)</f>
        <v/>
      </c>
      <c r="O149" s="38" t="n"/>
      <c r="P149" s="38" t="n"/>
      <c r="Q149" s="37" t="n"/>
      <c r="R149" s="38" t="n"/>
      <c r="S149" s="40">
        <f>IF($A149="","",YEAR($A149))</f>
        <v/>
      </c>
      <c r="T149" s="40">
        <f>IF($A149="","",MONTH($A149))</f>
        <v/>
      </c>
      <c r="U149" s="40">
        <f>IF($Q149="","",YEAR($Q149))</f>
        <v/>
      </c>
      <c r="V149" s="40">
        <f>IF($Q149="","",MONTH($Q149))</f>
        <v/>
      </c>
    </row>
    <row r="150">
      <c r="A150" s="37" t="n"/>
      <c r="B150" s="38" t="n"/>
      <c r="C150" s="38" t="n"/>
      <c r="D150" s="38" t="n"/>
      <c r="E150" s="38" t="n"/>
      <c r="F150" s="38" t="n"/>
      <c r="G150" s="39" t="n"/>
      <c r="H150" s="38" t="n"/>
      <c r="I150" s="25">
        <f>IF($G150="","",IF(AND($H150="Sí",IFERROR(INDEX(Parámetros!$B$54:$B$60,MATCH($C150,Parámetros!$A$54:$A$60,0)),0)=1),ROUND($G150/(1+Parámetros!$B$13),0),$G150))</f>
        <v/>
      </c>
      <c r="J150" s="25">
        <f>IF($G150="","",IF(IFERROR(INDEX(Parámetros!$B$54:$B$60,MATCH($C150,Parámetros!$A$54:$A$60,0)),0)=1,ROUND($I150*Parámetros!$B$13,0),0))</f>
        <v/>
      </c>
      <c r="K150" s="25">
        <f>IF($G150="","",IF(IFERROR(INDEX(Parámetros!$C$54:$C$60,MATCH($C150,Parámetros!$A$54:$A$60,0)),0)=1,$J150,0))</f>
        <v/>
      </c>
      <c r="L150" s="25">
        <f>IF($G150="","",IF(IFERROR(INDEX(Parámetros!$D$54:$D$60,MATCH($C150,Parámetros!$A$54:$A$60,0)),0)=1,ROUND($I150*Parámetros!$B$16,0),0))</f>
        <v/>
      </c>
      <c r="M150" s="25">
        <f>IF($G150="","",$I150+$J150)</f>
        <v/>
      </c>
      <c r="N150" s="25">
        <f>IF($G150="","",$M150-$L150)</f>
        <v/>
      </c>
      <c r="O150" s="38" t="n"/>
      <c r="P150" s="38" t="n"/>
      <c r="Q150" s="37" t="n"/>
      <c r="R150" s="38" t="n"/>
      <c r="S150" s="40">
        <f>IF($A150="","",YEAR($A150))</f>
        <v/>
      </c>
      <c r="T150" s="40">
        <f>IF($A150="","",MONTH($A150))</f>
        <v/>
      </c>
      <c r="U150" s="40">
        <f>IF($Q150="","",YEAR($Q150))</f>
        <v/>
      </c>
      <c r="V150" s="40">
        <f>IF($Q150="","",MONTH($Q150))</f>
        <v/>
      </c>
    </row>
    <row r="151">
      <c r="A151" s="37" t="n"/>
      <c r="B151" s="38" t="n"/>
      <c r="C151" s="38" t="n"/>
      <c r="D151" s="38" t="n"/>
      <c r="E151" s="38" t="n"/>
      <c r="F151" s="38" t="n"/>
      <c r="G151" s="39" t="n"/>
      <c r="H151" s="38" t="n"/>
      <c r="I151" s="25">
        <f>IF($G151="","",IF(AND($H151="Sí",IFERROR(INDEX(Parámetros!$B$54:$B$60,MATCH($C151,Parámetros!$A$54:$A$60,0)),0)=1),ROUND($G151/(1+Parámetros!$B$13),0),$G151))</f>
        <v/>
      </c>
      <c r="J151" s="25">
        <f>IF($G151="","",IF(IFERROR(INDEX(Parámetros!$B$54:$B$60,MATCH($C151,Parámetros!$A$54:$A$60,0)),0)=1,ROUND($I151*Parámetros!$B$13,0),0))</f>
        <v/>
      </c>
      <c r="K151" s="25">
        <f>IF($G151="","",IF(IFERROR(INDEX(Parámetros!$C$54:$C$60,MATCH($C151,Parámetros!$A$54:$A$60,0)),0)=1,$J151,0))</f>
        <v/>
      </c>
      <c r="L151" s="25">
        <f>IF($G151="","",IF(IFERROR(INDEX(Parámetros!$D$54:$D$60,MATCH($C151,Parámetros!$A$54:$A$60,0)),0)=1,ROUND($I151*Parámetros!$B$16,0),0))</f>
        <v/>
      </c>
      <c r="M151" s="25">
        <f>IF($G151="","",$I151+$J151)</f>
        <v/>
      </c>
      <c r="N151" s="25">
        <f>IF($G151="","",$M151-$L151)</f>
        <v/>
      </c>
      <c r="O151" s="38" t="n"/>
      <c r="P151" s="38" t="n"/>
      <c r="Q151" s="37" t="n"/>
      <c r="R151" s="38" t="n"/>
      <c r="S151" s="40">
        <f>IF($A151="","",YEAR($A151))</f>
        <v/>
      </c>
      <c r="T151" s="40">
        <f>IF($A151="","",MONTH($A151))</f>
        <v/>
      </c>
      <c r="U151" s="40">
        <f>IF($Q151="","",YEAR($Q151))</f>
        <v/>
      </c>
      <c r="V151" s="40">
        <f>IF($Q151="","",MONTH($Q151))</f>
        <v/>
      </c>
    </row>
    <row r="152">
      <c r="A152" s="37" t="n"/>
      <c r="B152" s="38" t="n"/>
      <c r="C152" s="38" t="n"/>
      <c r="D152" s="38" t="n"/>
      <c r="E152" s="38" t="n"/>
      <c r="F152" s="38" t="n"/>
      <c r="G152" s="39" t="n"/>
      <c r="H152" s="38" t="n"/>
      <c r="I152" s="25">
        <f>IF($G152="","",IF(AND($H152="Sí",IFERROR(INDEX(Parámetros!$B$54:$B$60,MATCH($C152,Parámetros!$A$54:$A$60,0)),0)=1),ROUND($G152/(1+Parámetros!$B$13),0),$G152))</f>
        <v/>
      </c>
      <c r="J152" s="25">
        <f>IF($G152="","",IF(IFERROR(INDEX(Parámetros!$B$54:$B$60,MATCH($C152,Parámetros!$A$54:$A$60,0)),0)=1,ROUND($I152*Parámetros!$B$13,0),0))</f>
        <v/>
      </c>
      <c r="K152" s="25">
        <f>IF($G152="","",IF(IFERROR(INDEX(Parámetros!$C$54:$C$60,MATCH($C152,Parámetros!$A$54:$A$60,0)),0)=1,$J152,0))</f>
        <v/>
      </c>
      <c r="L152" s="25">
        <f>IF($G152="","",IF(IFERROR(INDEX(Parámetros!$D$54:$D$60,MATCH($C152,Parámetros!$A$54:$A$60,0)),0)=1,ROUND($I152*Parámetros!$B$16,0),0))</f>
        <v/>
      </c>
      <c r="M152" s="25">
        <f>IF($G152="","",$I152+$J152)</f>
        <v/>
      </c>
      <c r="N152" s="25">
        <f>IF($G152="","",$M152-$L152)</f>
        <v/>
      </c>
      <c r="O152" s="38" t="n"/>
      <c r="P152" s="38" t="n"/>
      <c r="Q152" s="37" t="n"/>
      <c r="R152" s="38" t="n"/>
      <c r="S152" s="40">
        <f>IF($A152="","",YEAR($A152))</f>
        <v/>
      </c>
      <c r="T152" s="40">
        <f>IF($A152="","",MONTH($A152))</f>
        <v/>
      </c>
      <c r="U152" s="40">
        <f>IF($Q152="","",YEAR($Q152))</f>
        <v/>
      </c>
      <c r="V152" s="40">
        <f>IF($Q152="","",MONTH($Q152))</f>
        <v/>
      </c>
    </row>
    <row r="153">
      <c r="A153" s="37" t="n"/>
      <c r="B153" s="38" t="n"/>
      <c r="C153" s="38" t="n"/>
      <c r="D153" s="38" t="n"/>
      <c r="E153" s="38" t="n"/>
      <c r="F153" s="38" t="n"/>
      <c r="G153" s="39" t="n"/>
      <c r="H153" s="38" t="n"/>
      <c r="I153" s="25">
        <f>IF($G153="","",IF(AND($H153="Sí",IFERROR(INDEX(Parámetros!$B$54:$B$60,MATCH($C153,Parámetros!$A$54:$A$60,0)),0)=1),ROUND($G153/(1+Parámetros!$B$13),0),$G153))</f>
        <v/>
      </c>
      <c r="J153" s="25">
        <f>IF($G153="","",IF(IFERROR(INDEX(Parámetros!$B$54:$B$60,MATCH($C153,Parámetros!$A$54:$A$60,0)),0)=1,ROUND($I153*Parámetros!$B$13,0),0))</f>
        <v/>
      </c>
      <c r="K153" s="25">
        <f>IF($G153="","",IF(IFERROR(INDEX(Parámetros!$C$54:$C$60,MATCH($C153,Parámetros!$A$54:$A$60,0)),0)=1,$J153,0))</f>
        <v/>
      </c>
      <c r="L153" s="25">
        <f>IF($G153="","",IF(IFERROR(INDEX(Parámetros!$D$54:$D$60,MATCH($C153,Parámetros!$A$54:$A$60,0)),0)=1,ROUND($I153*Parámetros!$B$16,0),0))</f>
        <v/>
      </c>
      <c r="M153" s="25">
        <f>IF($G153="","",$I153+$J153)</f>
        <v/>
      </c>
      <c r="N153" s="25">
        <f>IF($G153="","",$M153-$L153)</f>
        <v/>
      </c>
      <c r="O153" s="38" t="n"/>
      <c r="P153" s="38" t="n"/>
      <c r="Q153" s="37" t="n"/>
      <c r="R153" s="38" t="n"/>
      <c r="S153" s="40">
        <f>IF($A153="","",YEAR($A153))</f>
        <v/>
      </c>
      <c r="T153" s="40">
        <f>IF($A153="","",MONTH($A153))</f>
        <v/>
      </c>
      <c r="U153" s="40">
        <f>IF($Q153="","",YEAR($Q153))</f>
        <v/>
      </c>
      <c r="V153" s="40">
        <f>IF($Q153="","",MONTH($Q153))</f>
        <v/>
      </c>
    </row>
    <row r="154">
      <c r="A154" s="37" t="n"/>
      <c r="B154" s="38" t="n"/>
      <c r="C154" s="38" t="n"/>
      <c r="D154" s="38" t="n"/>
      <c r="E154" s="38" t="n"/>
      <c r="F154" s="38" t="n"/>
      <c r="G154" s="39" t="n"/>
      <c r="H154" s="38" t="n"/>
      <c r="I154" s="25">
        <f>IF($G154="","",IF(AND($H154="Sí",IFERROR(INDEX(Parámetros!$B$54:$B$60,MATCH($C154,Parámetros!$A$54:$A$60,0)),0)=1),ROUND($G154/(1+Parámetros!$B$13),0),$G154))</f>
        <v/>
      </c>
      <c r="J154" s="25">
        <f>IF($G154="","",IF(IFERROR(INDEX(Parámetros!$B$54:$B$60,MATCH($C154,Parámetros!$A$54:$A$60,0)),0)=1,ROUND($I154*Parámetros!$B$13,0),0))</f>
        <v/>
      </c>
      <c r="K154" s="25">
        <f>IF($G154="","",IF(IFERROR(INDEX(Parámetros!$C$54:$C$60,MATCH($C154,Parámetros!$A$54:$A$60,0)),0)=1,$J154,0))</f>
        <v/>
      </c>
      <c r="L154" s="25">
        <f>IF($G154="","",IF(IFERROR(INDEX(Parámetros!$D$54:$D$60,MATCH($C154,Parámetros!$A$54:$A$60,0)),0)=1,ROUND($I154*Parámetros!$B$16,0),0))</f>
        <v/>
      </c>
      <c r="M154" s="25">
        <f>IF($G154="","",$I154+$J154)</f>
        <v/>
      </c>
      <c r="N154" s="25">
        <f>IF($G154="","",$M154-$L154)</f>
        <v/>
      </c>
      <c r="O154" s="38" t="n"/>
      <c r="P154" s="38" t="n"/>
      <c r="Q154" s="37" t="n"/>
      <c r="R154" s="38" t="n"/>
      <c r="S154" s="40">
        <f>IF($A154="","",YEAR($A154))</f>
        <v/>
      </c>
      <c r="T154" s="40">
        <f>IF($A154="","",MONTH($A154))</f>
        <v/>
      </c>
      <c r="U154" s="40">
        <f>IF($Q154="","",YEAR($Q154))</f>
        <v/>
      </c>
      <c r="V154" s="40">
        <f>IF($Q154="","",MONTH($Q154))</f>
        <v/>
      </c>
    </row>
    <row r="155">
      <c r="A155" s="37" t="n"/>
      <c r="B155" s="38" t="n"/>
      <c r="C155" s="38" t="n"/>
      <c r="D155" s="38" t="n"/>
      <c r="E155" s="38" t="n"/>
      <c r="F155" s="38" t="n"/>
      <c r="G155" s="39" t="n"/>
      <c r="H155" s="38" t="n"/>
      <c r="I155" s="25">
        <f>IF($G155="","",IF(AND($H155="Sí",IFERROR(INDEX(Parámetros!$B$54:$B$60,MATCH($C155,Parámetros!$A$54:$A$60,0)),0)=1),ROUND($G155/(1+Parámetros!$B$13),0),$G155))</f>
        <v/>
      </c>
      <c r="J155" s="25">
        <f>IF($G155="","",IF(IFERROR(INDEX(Parámetros!$B$54:$B$60,MATCH($C155,Parámetros!$A$54:$A$60,0)),0)=1,ROUND($I155*Parámetros!$B$13,0),0))</f>
        <v/>
      </c>
      <c r="K155" s="25">
        <f>IF($G155="","",IF(IFERROR(INDEX(Parámetros!$C$54:$C$60,MATCH($C155,Parámetros!$A$54:$A$60,0)),0)=1,$J155,0))</f>
        <v/>
      </c>
      <c r="L155" s="25">
        <f>IF($G155="","",IF(IFERROR(INDEX(Parámetros!$D$54:$D$60,MATCH($C155,Parámetros!$A$54:$A$60,0)),0)=1,ROUND($I155*Parámetros!$B$16,0),0))</f>
        <v/>
      </c>
      <c r="M155" s="25">
        <f>IF($G155="","",$I155+$J155)</f>
        <v/>
      </c>
      <c r="N155" s="25">
        <f>IF($G155="","",$M155-$L155)</f>
        <v/>
      </c>
      <c r="O155" s="38" t="n"/>
      <c r="P155" s="38" t="n"/>
      <c r="Q155" s="37" t="n"/>
      <c r="R155" s="38" t="n"/>
      <c r="S155" s="40">
        <f>IF($A155="","",YEAR($A155))</f>
        <v/>
      </c>
      <c r="T155" s="40">
        <f>IF($A155="","",MONTH($A155))</f>
        <v/>
      </c>
      <c r="U155" s="40">
        <f>IF($Q155="","",YEAR($Q155))</f>
        <v/>
      </c>
      <c r="V155" s="40">
        <f>IF($Q155="","",MONTH($Q155))</f>
        <v/>
      </c>
    </row>
    <row r="156">
      <c r="A156" s="37" t="n"/>
      <c r="B156" s="38" t="n"/>
      <c r="C156" s="38" t="n"/>
      <c r="D156" s="38" t="n"/>
      <c r="E156" s="38" t="n"/>
      <c r="F156" s="38" t="n"/>
      <c r="G156" s="39" t="n"/>
      <c r="H156" s="38" t="n"/>
      <c r="I156" s="25">
        <f>IF($G156="","",IF(AND($H156="Sí",IFERROR(INDEX(Parámetros!$B$54:$B$60,MATCH($C156,Parámetros!$A$54:$A$60,0)),0)=1),ROUND($G156/(1+Parámetros!$B$13),0),$G156))</f>
        <v/>
      </c>
      <c r="J156" s="25">
        <f>IF($G156="","",IF(IFERROR(INDEX(Parámetros!$B$54:$B$60,MATCH($C156,Parámetros!$A$54:$A$60,0)),0)=1,ROUND($I156*Parámetros!$B$13,0),0))</f>
        <v/>
      </c>
      <c r="K156" s="25">
        <f>IF($G156="","",IF(IFERROR(INDEX(Parámetros!$C$54:$C$60,MATCH($C156,Parámetros!$A$54:$A$60,0)),0)=1,$J156,0))</f>
        <v/>
      </c>
      <c r="L156" s="25">
        <f>IF($G156="","",IF(IFERROR(INDEX(Parámetros!$D$54:$D$60,MATCH($C156,Parámetros!$A$54:$A$60,0)),0)=1,ROUND($I156*Parámetros!$B$16,0),0))</f>
        <v/>
      </c>
      <c r="M156" s="25">
        <f>IF($G156="","",$I156+$J156)</f>
        <v/>
      </c>
      <c r="N156" s="25">
        <f>IF($G156="","",$M156-$L156)</f>
        <v/>
      </c>
      <c r="O156" s="38" t="n"/>
      <c r="P156" s="38" t="n"/>
      <c r="Q156" s="37" t="n"/>
      <c r="R156" s="38" t="n"/>
      <c r="S156" s="40">
        <f>IF($A156="","",YEAR($A156))</f>
        <v/>
      </c>
      <c r="T156" s="40">
        <f>IF($A156="","",MONTH($A156))</f>
        <v/>
      </c>
      <c r="U156" s="40">
        <f>IF($Q156="","",YEAR($Q156))</f>
        <v/>
      </c>
      <c r="V156" s="40">
        <f>IF($Q156="","",MONTH($Q156))</f>
        <v/>
      </c>
    </row>
    <row r="157">
      <c r="A157" s="37" t="n"/>
      <c r="B157" s="38" t="n"/>
      <c r="C157" s="38" t="n"/>
      <c r="D157" s="38" t="n"/>
      <c r="E157" s="38" t="n"/>
      <c r="F157" s="38" t="n"/>
      <c r="G157" s="39" t="n"/>
      <c r="H157" s="38" t="n"/>
      <c r="I157" s="25">
        <f>IF($G157="","",IF(AND($H157="Sí",IFERROR(INDEX(Parámetros!$B$54:$B$60,MATCH($C157,Parámetros!$A$54:$A$60,0)),0)=1),ROUND($G157/(1+Parámetros!$B$13),0),$G157))</f>
        <v/>
      </c>
      <c r="J157" s="25">
        <f>IF($G157="","",IF(IFERROR(INDEX(Parámetros!$B$54:$B$60,MATCH($C157,Parámetros!$A$54:$A$60,0)),0)=1,ROUND($I157*Parámetros!$B$13,0),0))</f>
        <v/>
      </c>
      <c r="K157" s="25">
        <f>IF($G157="","",IF(IFERROR(INDEX(Parámetros!$C$54:$C$60,MATCH($C157,Parámetros!$A$54:$A$60,0)),0)=1,$J157,0))</f>
        <v/>
      </c>
      <c r="L157" s="25">
        <f>IF($G157="","",IF(IFERROR(INDEX(Parámetros!$D$54:$D$60,MATCH($C157,Parámetros!$A$54:$A$60,0)),0)=1,ROUND($I157*Parámetros!$B$16,0),0))</f>
        <v/>
      </c>
      <c r="M157" s="25">
        <f>IF($G157="","",$I157+$J157)</f>
        <v/>
      </c>
      <c r="N157" s="25">
        <f>IF($G157="","",$M157-$L157)</f>
        <v/>
      </c>
      <c r="O157" s="38" t="n"/>
      <c r="P157" s="38" t="n"/>
      <c r="Q157" s="37" t="n"/>
      <c r="R157" s="38" t="n"/>
      <c r="S157" s="40">
        <f>IF($A157="","",YEAR($A157))</f>
        <v/>
      </c>
      <c r="T157" s="40">
        <f>IF($A157="","",MONTH($A157))</f>
        <v/>
      </c>
      <c r="U157" s="40">
        <f>IF($Q157="","",YEAR($Q157))</f>
        <v/>
      </c>
      <c r="V157" s="40">
        <f>IF($Q157="","",MONTH($Q157))</f>
        <v/>
      </c>
    </row>
    <row r="158">
      <c r="A158" s="37" t="n"/>
      <c r="B158" s="38" t="n"/>
      <c r="C158" s="38" t="n"/>
      <c r="D158" s="38" t="n"/>
      <c r="E158" s="38" t="n"/>
      <c r="F158" s="38" t="n"/>
      <c r="G158" s="39" t="n"/>
      <c r="H158" s="38" t="n"/>
      <c r="I158" s="25">
        <f>IF($G158="","",IF(AND($H158="Sí",IFERROR(INDEX(Parámetros!$B$54:$B$60,MATCH($C158,Parámetros!$A$54:$A$60,0)),0)=1),ROUND($G158/(1+Parámetros!$B$13),0),$G158))</f>
        <v/>
      </c>
      <c r="J158" s="25">
        <f>IF($G158="","",IF(IFERROR(INDEX(Parámetros!$B$54:$B$60,MATCH($C158,Parámetros!$A$54:$A$60,0)),0)=1,ROUND($I158*Parámetros!$B$13,0),0))</f>
        <v/>
      </c>
      <c r="K158" s="25">
        <f>IF($G158="","",IF(IFERROR(INDEX(Parámetros!$C$54:$C$60,MATCH($C158,Parámetros!$A$54:$A$60,0)),0)=1,$J158,0))</f>
        <v/>
      </c>
      <c r="L158" s="25">
        <f>IF($G158="","",IF(IFERROR(INDEX(Parámetros!$D$54:$D$60,MATCH($C158,Parámetros!$A$54:$A$60,0)),0)=1,ROUND($I158*Parámetros!$B$16,0),0))</f>
        <v/>
      </c>
      <c r="M158" s="25">
        <f>IF($G158="","",$I158+$J158)</f>
        <v/>
      </c>
      <c r="N158" s="25">
        <f>IF($G158="","",$M158-$L158)</f>
        <v/>
      </c>
      <c r="O158" s="38" t="n"/>
      <c r="P158" s="38" t="n"/>
      <c r="Q158" s="37" t="n"/>
      <c r="R158" s="38" t="n"/>
      <c r="S158" s="40">
        <f>IF($A158="","",YEAR($A158))</f>
        <v/>
      </c>
      <c r="T158" s="40">
        <f>IF($A158="","",MONTH($A158))</f>
        <v/>
      </c>
      <c r="U158" s="40">
        <f>IF($Q158="","",YEAR($Q158))</f>
        <v/>
      </c>
      <c r="V158" s="40">
        <f>IF($Q158="","",MONTH($Q158))</f>
        <v/>
      </c>
    </row>
    <row r="159">
      <c r="A159" s="37" t="n"/>
      <c r="B159" s="38" t="n"/>
      <c r="C159" s="38" t="n"/>
      <c r="D159" s="38" t="n"/>
      <c r="E159" s="38" t="n"/>
      <c r="F159" s="38" t="n"/>
      <c r="G159" s="39" t="n"/>
      <c r="H159" s="38" t="n"/>
      <c r="I159" s="25">
        <f>IF($G159="","",IF(AND($H159="Sí",IFERROR(INDEX(Parámetros!$B$54:$B$60,MATCH($C159,Parámetros!$A$54:$A$60,0)),0)=1),ROUND($G159/(1+Parámetros!$B$13),0),$G159))</f>
        <v/>
      </c>
      <c r="J159" s="25">
        <f>IF($G159="","",IF(IFERROR(INDEX(Parámetros!$B$54:$B$60,MATCH($C159,Parámetros!$A$54:$A$60,0)),0)=1,ROUND($I159*Parámetros!$B$13,0),0))</f>
        <v/>
      </c>
      <c r="K159" s="25">
        <f>IF($G159="","",IF(IFERROR(INDEX(Parámetros!$C$54:$C$60,MATCH($C159,Parámetros!$A$54:$A$60,0)),0)=1,$J159,0))</f>
        <v/>
      </c>
      <c r="L159" s="25">
        <f>IF($G159="","",IF(IFERROR(INDEX(Parámetros!$D$54:$D$60,MATCH($C159,Parámetros!$A$54:$A$60,0)),0)=1,ROUND($I159*Parámetros!$B$16,0),0))</f>
        <v/>
      </c>
      <c r="M159" s="25">
        <f>IF($G159="","",$I159+$J159)</f>
        <v/>
      </c>
      <c r="N159" s="25">
        <f>IF($G159="","",$M159-$L159)</f>
        <v/>
      </c>
      <c r="O159" s="38" t="n"/>
      <c r="P159" s="38" t="n"/>
      <c r="Q159" s="37" t="n"/>
      <c r="R159" s="38" t="n"/>
      <c r="S159" s="40">
        <f>IF($A159="","",YEAR($A159))</f>
        <v/>
      </c>
      <c r="T159" s="40">
        <f>IF($A159="","",MONTH($A159))</f>
        <v/>
      </c>
      <c r="U159" s="40">
        <f>IF($Q159="","",YEAR($Q159))</f>
        <v/>
      </c>
      <c r="V159" s="40">
        <f>IF($Q159="","",MONTH($Q159))</f>
        <v/>
      </c>
    </row>
    <row r="160">
      <c r="A160" s="37" t="n"/>
      <c r="B160" s="38" t="n"/>
      <c r="C160" s="38" t="n"/>
      <c r="D160" s="38" t="n"/>
      <c r="E160" s="38" t="n"/>
      <c r="F160" s="38" t="n"/>
      <c r="G160" s="39" t="n"/>
      <c r="H160" s="38" t="n"/>
      <c r="I160" s="25">
        <f>IF($G160="","",IF(AND($H160="Sí",IFERROR(INDEX(Parámetros!$B$54:$B$60,MATCH($C160,Parámetros!$A$54:$A$60,0)),0)=1),ROUND($G160/(1+Parámetros!$B$13),0),$G160))</f>
        <v/>
      </c>
      <c r="J160" s="25">
        <f>IF($G160="","",IF(IFERROR(INDEX(Parámetros!$B$54:$B$60,MATCH($C160,Parámetros!$A$54:$A$60,0)),0)=1,ROUND($I160*Parámetros!$B$13,0),0))</f>
        <v/>
      </c>
      <c r="K160" s="25">
        <f>IF($G160="","",IF(IFERROR(INDEX(Parámetros!$C$54:$C$60,MATCH($C160,Parámetros!$A$54:$A$60,0)),0)=1,$J160,0))</f>
        <v/>
      </c>
      <c r="L160" s="25">
        <f>IF($G160="","",IF(IFERROR(INDEX(Parámetros!$D$54:$D$60,MATCH($C160,Parámetros!$A$54:$A$60,0)),0)=1,ROUND($I160*Parámetros!$B$16,0),0))</f>
        <v/>
      </c>
      <c r="M160" s="25">
        <f>IF($G160="","",$I160+$J160)</f>
        <v/>
      </c>
      <c r="N160" s="25">
        <f>IF($G160="","",$M160-$L160)</f>
        <v/>
      </c>
      <c r="O160" s="38" t="n"/>
      <c r="P160" s="38" t="n"/>
      <c r="Q160" s="37" t="n"/>
      <c r="R160" s="38" t="n"/>
      <c r="S160" s="40">
        <f>IF($A160="","",YEAR($A160))</f>
        <v/>
      </c>
      <c r="T160" s="40">
        <f>IF($A160="","",MONTH($A160))</f>
        <v/>
      </c>
      <c r="U160" s="40">
        <f>IF($Q160="","",YEAR($Q160))</f>
        <v/>
      </c>
      <c r="V160" s="40">
        <f>IF($Q160="","",MONTH($Q160))</f>
        <v/>
      </c>
    </row>
    <row r="161">
      <c r="A161" s="37" t="n"/>
      <c r="B161" s="38" t="n"/>
      <c r="C161" s="38" t="n"/>
      <c r="D161" s="38" t="n"/>
      <c r="E161" s="38" t="n"/>
      <c r="F161" s="38" t="n"/>
      <c r="G161" s="39" t="n"/>
      <c r="H161" s="38" t="n"/>
      <c r="I161" s="25">
        <f>IF($G161="","",IF(AND($H161="Sí",IFERROR(INDEX(Parámetros!$B$54:$B$60,MATCH($C161,Parámetros!$A$54:$A$60,0)),0)=1),ROUND($G161/(1+Parámetros!$B$13),0),$G161))</f>
        <v/>
      </c>
      <c r="J161" s="25">
        <f>IF($G161="","",IF(IFERROR(INDEX(Parámetros!$B$54:$B$60,MATCH($C161,Parámetros!$A$54:$A$60,0)),0)=1,ROUND($I161*Parámetros!$B$13,0),0))</f>
        <v/>
      </c>
      <c r="K161" s="25">
        <f>IF($G161="","",IF(IFERROR(INDEX(Parámetros!$C$54:$C$60,MATCH($C161,Parámetros!$A$54:$A$60,0)),0)=1,$J161,0))</f>
        <v/>
      </c>
      <c r="L161" s="25">
        <f>IF($G161="","",IF(IFERROR(INDEX(Parámetros!$D$54:$D$60,MATCH($C161,Parámetros!$A$54:$A$60,0)),0)=1,ROUND($I161*Parámetros!$B$16,0),0))</f>
        <v/>
      </c>
      <c r="M161" s="25">
        <f>IF($G161="","",$I161+$J161)</f>
        <v/>
      </c>
      <c r="N161" s="25">
        <f>IF($G161="","",$M161-$L161)</f>
        <v/>
      </c>
      <c r="O161" s="38" t="n"/>
      <c r="P161" s="38" t="n"/>
      <c r="Q161" s="37" t="n"/>
      <c r="R161" s="38" t="n"/>
      <c r="S161" s="40">
        <f>IF($A161="","",YEAR($A161))</f>
        <v/>
      </c>
      <c r="T161" s="40">
        <f>IF($A161="","",MONTH($A161))</f>
        <v/>
      </c>
      <c r="U161" s="40">
        <f>IF($Q161="","",YEAR($Q161))</f>
        <v/>
      </c>
      <c r="V161" s="40">
        <f>IF($Q161="","",MONTH($Q161))</f>
        <v/>
      </c>
    </row>
    <row r="162">
      <c r="A162" s="37" t="n"/>
      <c r="B162" s="38" t="n"/>
      <c r="C162" s="38" t="n"/>
      <c r="D162" s="38" t="n"/>
      <c r="E162" s="38" t="n"/>
      <c r="F162" s="38" t="n"/>
      <c r="G162" s="39" t="n"/>
      <c r="H162" s="38" t="n"/>
      <c r="I162" s="25">
        <f>IF($G162="","",IF(AND($H162="Sí",IFERROR(INDEX(Parámetros!$B$54:$B$60,MATCH($C162,Parámetros!$A$54:$A$60,0)),0)=1),ROUND($G162/(1+Parámetros!$B$13),0),$G162))</f>
        <v/>
      </c>
      <c r="J162" s="25">
        <f>IF($G162="","",IF(IFERROR(INDEX(Parámetros!$B$54:$B$60,MATCH($C162,Parámetros!$A$54:$A$60,0)),0)=1,ROUND($I162*Parámetros!$B$13,0),0))</f>
        <v/>
      </c>
      <c r="K162" s="25">
        <f>IF($G162="","",IF(IFERROR(INDEX(Parámetros!$C$54:$C$60,MATCH($C162,Parámetros!$A$54:$A$60,0)),0)=1,$J162,0))</f>
        <v/>
      </c>
      <c r="L162" s="25">
        <f>IF($G162="","",IF(IFERROR(INDEX(Parámetros!$D$54:$D$60,MATCH($C162,Parámetros!$A$54:$A$60,0)),0)=1,ROUND($I162*Parámetros!$B$16,0),0))</f>
        <v/>
      </c>
      <c r="M162" s="25">
        <f>IF($G162="","",$I162+$J162)</f>
        <v/>
      </c>
      <c r="N162" s="25">
        <f>IF($G162="","",$M162-$L162)</f>
        <v/>
      </c>
      <c r="O162" s="38" t="n"/>
      <c r="P162" s="38" t="n"/>
      <c r="Q162" s="37" t="n"/>
      <c r="R162" s="38" t="n"/>
      <c r="S162" s="40">
        <f>IF($A162="","",YEAR($A162))</f>
        <v/>
      </c>
      <c r="T162" s="40">
        <f>IF($A162="","",MONTH($A162))</f>
        <v/>
      </c>
      <c r="U162" s="40">
        <f>IF($Q162="","",YEAR($Q162))</f>
        <v/>
      </c>
      <c r="V162" s="40">
        <f>IF($Q162="","",MONTH($Q162))</f>
        <v/>
      </c>
    </row>
    <row r="163">
      <c r="A163" s="37" t="n"/>
      <c r="B163" s="38" t="n"/>
      <c r="C163" s="38" t="n"/>
      <c r="D163" s="38" t="n"/>
      <c r="E163" s="38" t="n"/>
      <c r="F163" s="38" t="n"/>
      <c r="G163" s="39" t="n"/>
      <c r="H163" s="38" t="n"/>
      <c r="I163" s="25">
        <f>IF($G163="","",IF(AND($H163="Sí",IFERROR(INDEX(Parámetros!$B$54:$B$60,MATCH($C163,Parámetros!$A$54:$A$60,0)),0)=1),ROUND($G163/(1+Parámetros!$B$13),0),$G163))</f>
        <v/>
      </c>
      <c r="J163" s="25">
        <f>IF($G163="","",IF(IFERROR(INDEX(Parámetros!$B$54:$B$60,MATCH($C163,Parámetros!$A$54:$A$60,0)),0)=1,ROUND($I163*Parámetros!$B$13,0),0))</f>
        <v/>
      </c>
      <c r="K163" s="25">
        <f>IF($G163="","",IF(IFERROR(INDEX(Parámetros!$C$54:$C$60,MATCH($C163,Parámetros!$A$54:$A$60,0)),0)=1,$J163,0))</f>
        <v/>
      </c>
      <c r="L163" s="25">
        <f>IF($G163="","",IF(IFERROR(INDEX(Parámetros!$D$54:$D$60,MATCH($C163,Parámetros!$A$54:$A$60,0)),0)=1,ROUND($I163*Parámetros!$B$16,0),0))</f>
        <v/>
      </c>
      <c r="M163" s="25">
        <f>IF($G163="","",$I163+$J163)</f>
        <v/>
      </c>
      <c r="N163" s="25">
        <f>IF($G163="","",$M163-$L163)</f>
        <v/>
      </c>
      <c r="O163" s="38" t="n"/>
      <c r="P163" s="38" t="n"/>
      <c r="Q163" s="37" t="n"/>
      <c r="R163" s="38" t="n"/>
      <c r="S163" s="40">
        <f>IF($A163="","",YEAR($A163))</f>
        <v/>
      </c>
      <c r="T163" s="40">
        <f>IF($A163="","",MONTH($A163))</f>
        <v/>
      </c>
      <c r="U163" s="40">
        <f>IF($Q163="","",YEAR($Q163))</f>
        <v/>
      </c>
      <c r="V163" s="40">
        <f>IF($Q163="","",MONTH($Q163))</f>
        <v/>
      </c>
    </row>
    <row r="164">
      <c r="A164" s="37" t="n"/>
      <c r="B164" s="38" t="n"/>
      <c r="C164" s="38" t="n"/>
      <c r="D164" s="38" t="n"/>
      <c r="E164" s="38" t="n"/>
      <c r="F164" s="38" t="n"/>
      <c r="G164" s="39" t="n"/>
      <c r="H164" s="38" t="n"/>
      <c r="I164" s="25">
        <f>IF($G164="","",IF(AND($H164="Sí",IFERROR(INDEX(Parámetros!$B$54:$B$60,MATCH($C164,Parámetros!$A$54:$A$60,0)),0)=1),ROUND($G164/(1+Parámetros!$B$13),0),$G164))</f>
        <v/>
      </c>
      <c r="J164" s="25">
        <f>IF($G164="","",IF(IFERROR(INDEX(Parámetros!$B$54:$B$60,MATCH($C164,Parámetros!$A$54:$A$60,0)),0)=1,ROUND($I164*Parámetros!$B$13,0),0))</f>
        <v/>
      </c>
      <c r="K164" s="25">
        <f>IF($G164="","",IF(IFERROR(INDEX(Parámetros!$C$54:$C$60,MATCH($C164,Parámetros!$A$54:$A$60,0)),0)=1,$J164,0))</f>
        <v/>
      </c>
      <c r="L164" s="25">
        <f>IF($G164="","",IF(IFERROR(INDEX(Parámetros!$D$54:$D$60,MATCH($C164,Parámetros!$A$54:$A$60,0)),0)=1,ROUND($I164*Parámetros!$B$16,0),0))</f>
        <v/>
      </c>
      <c r="M164" s="25">
        <f>IF($G164="","",$I164+$J164)</f>
        <v/>
      </c>
      <c r="N164" s="25">
        <f>IF($G164="","",$M164-$L164)</f>
        <v/>
      </c>
      <c r="O164" s="38" t="n"/>
      <c r="P164" s="38" t="n"/>
      <c r="Q164" s="37" t="n"/>
      <c r="R164" s="38" t="n"/>
      <c r="S164" s="40">
        <f>IF($A164="","",YEAR($A164))</f>
        <v/>
      </c>
      <c r="T164" s="40">
        <f>IF($A164="","",MONTH($A164))</f>
        <v/>
      </c>
      <c r="U164" s="40">
        <f>IF($Q164="","",YEAR($Q164))</f>
        <v/>
      </c>
      <c r="V164" s="40">
        <f>IF($Q164="","",MONTH($Q164))</f>
        <v/>
      </c>
    </row>
    <row r="165">
      <c r="A165" s="37" t="n"/>
      <c r="B165" s="38" t="n"/>
      <c r="C165" s="38" t="n"/>
      <c r="D165" s="38" t="n"/>
      <c r="E165" s="38" t="n"/>
      <c r="F165" s="38" t="n"/>
      <c r="G165" s="39" t="n"/>
      <c r="H165" s="38" t="n"/>
      <c r="I165" s="25">
        <f>IF($G165="","",IF(AND($H165="Sí",IFERROR(INDEX(Parámetros!$B$54:$B$60,MATCH($C165,Parámetros!$A$54:$A$60,0)),0)=1),ROUND($G165/(1+Parámetros!$B$13),0),$G165))</f>
        <v/>
      </c>
      <c r="J165" s="25">
        <f>IF($G165="","",IF(IFERROR(INDEX(Parámetros!$B$54:$B$60,MATCH($C165,Parámetros!$A$54:$A$60,0)),0)=1,ROUND($I165*Parámetros!$B$13,0),0))</f>
        <v/>
      </c>
      <c r="K165" s="25">
        <f>IF($G165="","",IF(IFERROR(INDEX(Parámetros!$C$54:$C$60,MATCH($C165,Parámetros!$A$54:$A$60,0)),0)=1,$J165,0))</f>
        <v/>
      </c>
      <c r="L165" s="25">
        <f>IF($G165="","",IF(IFERROR(INDEX(Parámetros!$D$54:$D$60,MATCH($C165,Parámetros!$A$54:$A$60,0)),0)=1,ROUND($I165*Parámetros!$B$16,0),0))</f>
        <v/>
      </c>
      <c r="M165" s="25">
        <f>IF($G165="","",$I165+$J165)</f>
        <v/>
      </c>
      <c r="N165" s="25">
        <f>IF($G165="","",$M165-$L165)</f>
        <v/>
      </c>
      <c r="O165" s="38" t="n"/>
      <c r="P165" s="38" t="n"/>
      <c r="Q165" s="37" t="n"/>
      <c r="R165" s="38" t="n"/>
      <c r="S165" s="40">
        <f>IF($A165="","",YEAR($A165))</f>
        <v/>
      </c>
      <c r="T165" s="40">
        <f>IF($A165="","",MONTH($A165))</f>
        <v/>
      </c>
      <c r="U165" s="40">
        <f>IF($Q165="","",YEAR($Q165))</f>
        <v/>
      </c>
      <c r="V165" s="40">
        <f>IF($Q165="","",MONTH($Q165))</f>
        <v/>
      </c>
    </row>
    <row r="166">
      <c r="A166" s="37" t="n"/>
      <c r="B166" s="38" t="n"/>
      <c r="C166" s="38" t="n"/>
      <c r="D166" s="38" t="n"/>
      <c r="E166" s="38" t="n"/>
      <c r="F166" s="38" t="n"/>
      <c r="G166" s="39" t="n"/>
      <c r="H166" s="38" t="n"/>
      <c r="I166" s="25">
        <f>IF($G166="","",IF(AND($H166="Sí",IFERROR(INDEX(Parámetros!$B$54:$B$60,MATCH($C166,Parámetros!$A$54:$A$60,0)),0)=1),ROUND($G166/(1+Parámetros!$B$13),0),$G166))</f>
        <v/>
      </c>
      <c r="J166" s="25">
        <f>IF($G166="","",IF(IFERROR(INDEX(Parámetros!$B$54:$B$60,MATCH($C166,Parámetros!$A$54:$A$60,0)),0)=1,ROUND($I166*Parámetros!$B$13,0),0))</f>
        <v/>
      </c>
      <c r="K166" s="25">
        <f>IF($G166="","",IF(IFERROR(INDEX(Parámetros!$C$54:$C$60,MATCH($C166,Parámetros!$A$54:$A$60,0)),0)=1,$J166,0))</f>
        <v/>
      </c>
      <c r="L166" s="25">
        <f>IF($G166="","",IF(IFERROR(INDEX(Parámetros!$D$54:$D$60,MATCH($C166,Parámetros!$A$54:$A$60,0)),0)=1,ROUND($I166*Parámetros!$B$16,0),0))</f>
        <v/>
      </c>
      <c r="M166" s="25">
        <f>IF($G166="","",$I166+$J166)</f>
        <v/>
      </c>
      <c r="N166" s="25">
        <f>IF($G166="","",$M166-$L166)</f>
        <v/>
      </c>
      <c r="O166" s="38" t="n"/>
      <c r="P166" s="38" t="n"/>
      <c r="Q166" s="37" t="n"/>
      <c r="R166" s="38" t="n"/>
      <c r="S166" s="40">
        <f>IF($A166="","",YEAR($A166))</f>
        <v/>
      </c>
      <c r="T166" s="40">
        <f>IF($A166="","",MONTH($A166))</f>
        <v/>
      </c>
      <c r="U166" s="40">
        <f>IF($Q166="","",YEAR($Q166))</f>
        <v/>
      </c>
      <c r="V166" s="40">
        <f>IF($Q166="","",MONTH($Q166))</f>
        <v/>
      </c>
    </row>
    <row r="167">
      <c r="A167" s="37" t="n"/>
      <c r="B167" s="38" t="n"/>
      <c r="C167" s="38" t="n"/>
      <c r="D167" s="38" t="n"/>
      <c r="E167" s="38" t="n"/>
      <c r="F167" s="38" t="n"/>
      <c r="G167" s="39" t="n"/>
      <c r="H167" s="38" t="n"/>
      <c r="I167" s="25">
        <f>IF($G167="","",IF(AND($H167="Sí",IFERROR(INDEX(Parámetros!$B$54:$B$60,MATCH($C167,Parámetros!$A$54:$A$60,0)),0)=1),ROUND($G167/(1+Parámetros!$B$13),0),$G167))</f>
        <v/>
      </c>
      <c r="J167" s="25">
        <f>IF($G167="","",IF(IFERROR(INDEX(Parámetros!$B$54:$B$60,MATCH($C167,Parámetros!$A$54:$A$60,0)),0)=1,ROUND($I167*Parámetros!$B$13,0),0))</f>
        <v/>
      </c>
      <c r="K167" s="25">
        <f>IF($G167="","",IF(IFERROR(INDEX(Parámetros!$C$54:$C$60,MATCH($C167,Parámetros!$A$54:$A$60,0)),0)=1,$J167,0))</f>
        <v/>
      </c>
      <c r="L167" s="25">
        <f>IF($G167="","",IF(IFERROR(INDEX(Parámetros!$D$54:$D$60,MATCH($C167,Parámetros!$A$54:$A$60,0)),0)=1,ROUND($I167*Parámetros!$B$16,0),0))</f>
        <v/>
      </c>
      <c r="M167" s="25">
        <f>IF($G167="","",$I167+$J167)</f>
        <v/>
      </c>
      <c r="N167" s="25">
        <f>IF($G167="","",$M167-$L167)</f>
        <v/>
      </c>
      <c r="O167" s="38" t="n"/>
      <c r="P167" s="38" t="n"/>
      <c r="Q167" s="37" t="n"/>
      <c r="R167" s="38" t="n"/>
      <c r="S167" s="40">
        <f>IF($A167="","",YEAR($A167))</f>
        <v/>
      </c>
      <c r="T167" s="40">
        <f>IF($A167="","",MONTH($A167))</f>
        <v/>
      </c>
      <c r="U167" s="40">
        <f>IF($Q167="","",YEAR($Q167))</f>
        <v/>
      </c>
      <c r="V167" s="40">
        <f>IF($Q167="","",MONTH($Q167))</f>
        <v/>
      </c>
    </row>
    <row r="168">
      <c r="A168" s="37" t="n"/>
      <c r="B168" s="38" t="n"/>
      <c r="C168" s="38" t="n"/>
      <c r="D168" s="38" t="n"/>
      <c r="E168" s="38" t="n"/>
      <c r="F168" s="38" t="n"/>
      <c r="G168" s="39" t="n"/>
      <c r="H168" s="38" t="n"/>
      <c r="I168" s="25">
        <f>IF($G168="","",IF(AND($H168="Sí",IFERROR(INDEX(Parámetros!$B$54:$B$60,MATCH($C168,Parámetros!$A$54:$A$60,0)),0)=1),ROUND($G168/(1+Parámetros!$B$13),0),$G168))</f>
        <v/>
      </c>
      <c r="J168" s="25">
        <f>IF($G168="","",IF(IFERROR(INDEX(Parámetros!$B$54:$B$60,MATCH($C168,Parámetros!$A$54:$A$60,0)),0)=1,ROUND($I168*Parámetros!$B$13,0),0))</f>
        <v/>
      </c>
      <c r="K168" s="25">
        <f>IF($G168="","",IF(IFERROR(INDEX(Parámetros!$C$54:$C$60,MATCH($C168,Parámetros!$A$54:$A$60,0)),0)=1,$J168,0))</f>
        <v/>
      </c>
      <c r="L168" s="25">
        <f>IF($G168="","",IF(IFERROR(INDEX(Parámetros!$D$54:$D$60,MATCH($C168,Parámetros!$A$54:$A$60,0)),0)=1,ROUND($I168*Parámetros!$B$16,0),0))</f>
        <v/>
      </c>
      <c r="M168" s="25">
        <f>IF($G168="","",$I168+$J168)</f>
        <v/>
      </c>
      <c r="N168" s="25">
        <f>IF($G168="","",$M168-$L168)</f>
        <v/>
      </c>
      <c r="O168" s="38" t="n"/>
      <c r="P168" s="38" t="n"/>
      <c r="Q168" s="37" t="n"/>
      <c r="R168" s="38" t="n"/>
      <c r="S168" s="40">
        <f>IF($A168="","",YEAR($A168))</f>
        <v/>
      </c>
      <c r="T168" s="40">
        <f>IF($A168="","",MONTH($A168))</f>
        <v/>
      </c>
      <c r="U168" s="40">
        <f>IF($Q168="","",YEAR($Q168))</f>
        <v/>
      </c>
      <c r="V168" s="40">
        <f>IF($Q168="","",MONTH($Q168))</f>
        <v/>
      </c>
    </row>
    <row r="169">
      <c r="A169" s="37" t="n"/>
      <c r="B169" s="38" t="n"/>
      <c r="C169" s="38" t="n"/>
      <c r="D169" s="38" t="n"/>
      <c r="E169" s="38" t="n"/>
      <c r="F169" s="38" t="n"/>
      <c r="G169" s="39" t="n"/>
      <c r="H169" s="38" t="n"/>
      <c r="I169" s="25">
        <f>IF($G169="","",IF(AND($H169="Sí",IFERROR(INDEX(Parámetros!$B$54:$B$60,MATCH($C169,Parámetros!$A$54:$A$60,0)),0)=1),ROUND($G169/(1+Parámetros!$B$13),0),$G169))</f>
        <v/>
      </c>
      <c r="J169" s="25">
        <f>IF($G169="","",IF(IFERROR(INDEX(Parámetros!$B$54:$B$60,MATCH($C169,Parámetros!$A$54:$A$60,0)),0)=1,ROUND($I169*Parámetros!$B$13,0),0))</f>
        <v/>
      </c>
      <c r="K169" s="25">
        <f>IF($G169="","",IF(IFERROR(INDEX(Parámetros!$C$54:$C$60,MATCH($C169,Parámetros!$A$54:$A$60,0)),0)=1,$J169,0))</f>
        <v/>
      </c>
      <c r="L169" s="25">
        <f>IF($G169="","",IF(IFERROR(INDEX(Parámetros!$D$54:$D$60,MATCH($C169,Parámetros!$A$54:$A$60,0)),0)=1,ROUND($I169*Parámetros!$B$16,0),0))</f>
        <v/>
      </c>
      <c r="M169" s="25">
        <f>IF($G169="","",$I169+$J169)</f>
        <v/>
      </c>
      <c r="N169" s="25">
        <f>IF($G169="","",$M169-$L169)</f>
        <v/>
      </c>
      <c r="O169" s="38" t="n"/>
      <c r="P169" s="38" t="n"/>
      <c r="Q169" s="37" t="n"/>
      <c r="R169" s="38" t="n"/>
      <c r="S169" s="40">
        <f>IF($A169="","",YEAR($A169))</f>
        <v/>
      </c>
      <c r="T169" s="40">
        <f>IF($A169="","",MONTH($A169))</f>
        <v/>
      </c>
      <c r="U169" s="40">
        <f>IF($Q169="","",YEAR($Q169))</f>
        <v/>
      </c>
      <c r="V169" s="40">
        <f>IF($Q169="","",MONTH($Q169))</f>
        <v/>
      </c>
    </row>
    <row r="170">
      <c r="A170" s="37" t="n"/>
      <c r="B170" s="38" t="n"/>
      <c r="C170" s="38" t="n"/>
      <c r="D170" s="38" t="n"/>
      <c r="E170" s="38" t="n"/>
      <c r="F170" s="38" t="n"/>
      <c r="G170" s="39" t="n"/>
      <c r="H170" s="38" t="n"/>
      <c r="I170" s="25">
        <f>IF($G170="","",IF(AND($H170="Sí",IFERROR(INDEX(Parámetros!$B$54:$B$60,MATCH($C170,Parámetros!$A$54:$A$60,0)),0)=1),ROUND($G170/(1+Parámetros!$B$13),0),$G170))</f>
        <v/>
      </c>
      <c r="J170" s="25">
        <f>IF($G170="","",IF(IFERROR(INDEX(Parámetros!$B$54:$B$60,MATCH($C170,Parámetros!$A$54:$A$60,0)),0)=1,ROUND($I170*Parámetros!$B$13,0),0))</f>
        <v/>
      </c>
      <c r="K170" s="25">
        <f>IF($G170="","",IF(IFERROR(INDEX(Parámetros!$C$54:$C$60,MATCH($C170,Parámetros!$A$54:$A$60,0)),0)=1,$J170,0))</f>
        <v/>
      </c>
      <c r="L170" s="25">
        <f>IF($G170="","",IF(IFERROR(INDEX(Parámetros!$D$54:$D$60,MATCH($C170,Parámetros!$A$54:$A$60,0)),0)=1,ROUND($I170*Parámetros!$B$16,0),0))</f>
        <v/>
      </c>
      <c r="M170" s="25">
        <f>IF($G170="","",$I170+$J170)</f>
        <v/>
      </c>
      <c r="N170" s="25">
        <f>IF($G170="","",$M170-$L170)</f>
        <v/>
      </c>
      <c r="O170" s="38" t="n"/>
      <c r="P170" s="38" t="n"/>
      <c r="Q170" s="37" t="n"/>
      <c r="R170" s="38" t="n"/>
      <c r="S170" s="40">
        <f>IF($A170="","",YEAR($A170))</f>
        <v/>
      </c>
      <c r="T170" s="40">
        <f>IF($A170="","",MONTH($A170))</f>
        <v/>
      </c>
      <c r="U170" s="40">
        <f>IF($Q170="","",YEAR($Q170))</f>
        <v/>
      </c>
      <c r="V170" s="40">
        <f>IF($Q170="","",MONTH($Q170))</f>
        <v/>
      </c>
    </row>
    <row r="171">
      <c r="A171" s="37" t="n"/>
      <c r="B171" s="38" t="n"/>
      <c r="C171" s="38" t="n"/>
      <c r="D171" s="38" t="n"/>
      <c r="E171" s="38" t="n"/>
      <c r="F171" s="38" t="n"/>
      <c r="G171" s="39" t="n"/>
      <c r="H171" s="38" t="n"/>
      <c r="I171" s="25">
        <f>IF($G171="","",IF(AND($H171="Sí",IFERROR(INDEX(Parámetros!$B$54:$B$60,MATCH($C171,Parámetros!$A$54:$A$60,0)),0)=1),ROUND($G171/(1+Parámetros!$B$13),0),$G171))</f>
        <v/>
      </c>
      <c r="J171" s="25">
        <f>IF($G171="","",IF(IFERROR(INDEX(Parámetros!$B$54:$B$60,MATCH($C171,Parámetros!$A$54:$A$60,0)),0)=1,ROUND($I171*Parámetros!$B$13,0),0))</f>
        <v/>
      </c>
      <c r="K171" s="25">
        <f>IF($G171="","",IF(IFERROR(INDEX(Parámetros!$C$54:$C$60,MATCH($C171,Parámetros!$A$54:$A$60,0)),0)=1,$J171,0))</f>
        <v/>
      </c>
      <c r="L171" s="25">
        <f>IF($G171="","",IF(IFERROR(INDEX(Parámetros!$D$54:$D$60,MATCH($C171,Parámetros!$A$54:$A$60,0)),0)=1,ROUND($I171*Parámetros!$B$16,0),0))</f>
        <v/>
      </c>
      <c r="M171" s="25">
        <f>IF($G171="","",$I171+$J171)</f>
        <v/>
      </c>
      <c r="N171" s="25">
        <f>IF($G171="","",$M171-$L171)</f>
        <v/>
      </c>
      <c r="O171" s="38" t="n"/>
      <c r="P171" s="38" t="n"/>
      <c r="Q171" s="37" t="n"/>
      <c r="R171" s="38" t="n"/>
      <c r="S171" s="40">
        <f>IF($A171="","",YEAR($A171))</f>
        <v/>
      </c>
      <c r="T171" s="40">
        <f>IF($A171="","",MONTH($A171))</f>
        <v/>
      </c>
      <c r="U171" s="40">
        <f>IF($Q171="","",YEAR($Q171))</f>
        <v/>
      </c>
      <c r="V171" s="40">
        <f>IF($Q171="","",MONTH($Q171))</f>
        <v/>
      </c>
    </row>
    <row r="172">
      <c r="A172" s="37" t="n"/>
      <c r="B172" s="38" t="n"/>
      <c r="C172" s="38" t="n"/>
      <c r="D172" s="38" t="n"/>
      <c r="E172" s="38" t="n"/>
      <c r="F172" s="38" t="n"/>
      <c r="G172" s="39" t="n"/>
      <c r="H172" s="38" t="n"/>
      <c r="I172" s="25">
        <f>IF($G172="","",IF(AND($H172="Sí",IFERROR(INDEX(Parámetros!$B$54:$B$60,MATCH($C172,Parámetros!$A$54:$A$60,0)),0)=1),ROUND($G172/(1+Parámetros!$B$13),0),$G172))</f>
        <v/>
      </c>
      <c r="J172" s="25">
        <f>IF($G172="","",IF(IFERROR(INDEX(Parámetros!$B$54:$B$60,MATCH($C172,Parámetros!$A$54:$A$60,0)),0)=1,ROUND($I172*Parámetros!$B$13,0),0))</f>
        <v/>
      </c>
      <c r="K172" s="25">
        <f>IF($G172="","",IF(IFERROR(INDEX(Parámetros!$C$54:$C$60,MATCH($C172,Parámetros!$A$54:$A$60,0)),0)=1,$J172,0))</f>
        <v/>
      </c>
      <c r="L172" s="25">
        <f>IF($G172="","",IF(IFERROR(INDEX(Parámetros!$D$54:$D$60,MATCH($C172,Parámetros!$A$54:$A$60,0)),0)=1,ROUND($I172*Parámetros!$B$16,0),0))</f>
        <v/>
      </c>
      <c r="M172" s="25">
        <f>IF($G172="","",$I172+$J172)</f>
        <v/>
      </c>
      <c r="N172" s="25">
        <f>IF($G172="","",$M172-$L172)</f>
        <v/>
      </c>
      <c r="O172" s="38" t="n"/>
      <c r="P172" s="38" t="n"/>
      <c r="Q172" s="37" t="n"/>
      <c r="R172" s="38" t="n"/>
      <c r="S172" s="40">
        <f>IF($A172="","",YEAR($A172))</f>
        <v/>
      </c>
      <c r="T172" s="40">
        <f>IF($A172="","",MONTH($A172))</f>
        <v/>
      </c>
      <c r="U172" s="40">
        <f>IF($Q172="","",YEAR($Q172))</f>
        <v/>
      </c>
      <c r="V172" s="40">
        <f>IF($Q172="","",MONTH($Q172))</f>
        <v/>
      </c>
    </row>
    <row r="173">
      <c r="A173" s="37" t="n"/>
      <c r="B173" s="38" t="n"/>
      <c r="C173" s="38" t="n"/>
      <c r="D173" s="38" t="n"/>
      <c r="E173" s="38" t="n"/>
      <c r="F173" s="38" t="n"/>
      <c r="G173" s="39" t="n"/>
      <c r="H173" s="38" t="n"/>
      <c r="I173" s="25">
        <f>IF($G173="","",IF(AND($H173="Sí",IFERROR(INDEX(Parámetros!$B$54:$B$60,MATCH($C173,Parámetros!$A$54:$A$60,0)),0)=1),ROUND($G173/(1+Parámetros!$B$13),0),$G173))</f>
        <v/>
      </c>
      <c r="J173" s="25">
        <f>IF($G173="","",IF(IFERROR(INDEX(Parámetros!$B$54:$B$60,MATCH($C173,Parámetros!$A$54:$A$60,0)),0)=1,ROUND($I173*Parámetros!$B$13,0),0))</f>
        <v/>
      </c>
      <c r="K173" s="25">
        <f>IF($G173="","",IF(IFERROR(INDEX(Parámetros!$C$54:$C$60,MATCH($C173,Parámetros!$A$54:$A$60,0)),0)=1,$J173,0))</f>
        <v/>
      </c>
      <c r="L173" s="25">
        <f>IF($G173="","",IF(IFERROR(INDEX(Parámetros!$D$54:$D$60,MATCH($C173,Parámetros!$A$54:$A$60,0)),0)=1,ROUND($I173*Parámetros!$B$16,0),0))</f>
        <v/>
      </c>
      <c r="M173" s="25">
        <f>IF($G173="","",$I173+$J173)</f>
        <v/>
      </c>
      <c r="N173" s="25">
        <f>IF($G173="","",$M173-$L173)</f>
        <v/>
      </c>
      <c r="O173" s="38" t="n"/>
      <c r="P173" s="38" t="n"/>
      <c r="Q173" s="37" t="n"/>
      <c r="R173" s="38" t="n"/>
      <c r="S173" s="40">
        <f>IF($A173="","",YEAR($A173))</f>
        <v/>
      </c>
      <c r="T173" s="40">
        <f>IF($A173="","",MONTH($A173))</f>
        <v/>
      </c>
      <c r="U173" s="40">
        <f>IF($Q173="","",YEAR($Q173))</f>
        <v/>
      </c>
      <c r="V173" s="40">
        <f>IF($Q173="","",MONTH($Q173))</f>
        <v/>
      </c>
    </row>
    <row r="174">
      <c r="A174" s="37" t="n"/>
      <c r="B174" s="38" t="n"/>
      <c r="C174" s="38" t="n"/>
      <c r="D174" s="38" t="n"/>
      <c r="E174" s="38" t="n"/>
      <c r="F174" s="38" t="n"/>
      <c r="G174" s="39" t="n"/>
      <c r="H174" s="38" t="n"/>
      <c r="I174" s="25">
        <f>IF($G174="","",IF(AND($H174="Sí",IFERROR(INDEX(Parámetros!$B$54:$B$60,MATCH($C174,Parámetros!$A$54:$A$60,0)),0)=1),ROUND($G174/(1+Parámetros!$B$13),0),$G174))</f>
        <v/>
      </c>
      <c r="J174" s="25">
        <f>IF($G174="","",IF(IFERROR(INDEX(Parámetros!$B$54:$B$60,MATCH($C174,Parámetros!$A$54:$A$60,0)),0)=1,ROUND($I174*Parámetros!$B$13,0),0))</f>
        <v/>
      </c>
      <c r="K174" s="25">
        <f>IF($G174="","",IF(IFERROR(INDEX(Parámetros!$C$54:$C$60,MATCH($C174,Parámetros!$A$54:$A$60,0)),0)=1,$J174,0))</f>
        <v/>
      </c>
      <c r="L174" s="25">
        <f>IF($G174="","",IF(IFERROR(INDEX(Parámetros!$D$54:$D$60,MATCH($C174,Parámetros!$A$54:$A$60,0)),0)=1,ROUND($I174*Parámetros!$B$16,0),0))</f>
        <v/>
      </c>
      <c r="M174" s="25">
        <f>IF($G174="","",$I174+$J174)</f>
        <v/>
      </c>
      <c r="N174" s="25">
        <f>IF($G174="","",$M174-$L174)</f>
        <v/>
      </c>
      <c r="O174" s="38" t="n"/>
      <c r="P174" s="38" t="n"/>
      <c r="Q174" s="37" t="n"/>
      <c r="R174" s="38" t="n"/>
      <c r="S174" s="40">
        <f>IF($A174="","",YEAR($A174))</f>
        <v/>
      </c>
      <c r="T174" s="40">
        <f>IF($A174="","",MONTH($A174))</f>
        <v/>
      </c>
      <c r="U174" s="40">
        <f>IF($Q174="","",YEAR($Q174))</f>
        <v/>
      </c>
      <c r="V174" s="40">
        <f>IF($Q174="","",MONTH($Q174))</f>
        <v/>
      </c>
    </row>
    <row r="175">
      <c r="A175" s="37" t="n"/>
      <c r="B175" s="38" t="n"/>
      <c r="C175" s="38" t="n"/>
      <c r="D175" s="38" t="n"/>
      <c r="E175" s="38" t="n"/>
      <c r="F175" s="38" t="n"/>
      <c r="G175" s="39" t="n"/>
      <c r="H175" s="38" t="n"/>
      <c r="I175" s="25">
        <f>IF($G175="","",IF(AND($H175="Sí",IFERROR(INDEX(Parámetros!$B$54:$B$60,MATCH($C175,Parámetros!$A$54:$A$60,0)),0)=1),ROUND($G175/(1+Parámetros!$B$13),0),$G175))</f>
        <v/>
      </c>
      <c r="J175" s="25">
        <f>IF($G175="","",IF(IFERROR(INDEX(Parámetros!$B$54:$B$60,MATCH($C175,Parámetros!$A$54:$A$60,0)),0)=1,ROUND($I175*Parámetros!$B$13,0),0))</f>
        <v/>
      </c>
      <c r="K175" s="25">
        <f>IF($G175="","",IF(IFERROR(INDEX(Parámetros!$C$54:$C$60,MATCH($C175,Parámetros!$A$54:$A$60,0)),0)=1,$J175,0))</f>
        <v/>
      </c>
      <c r="L175" s="25">
        <f>IF($G175="","",IF(IFERROR(INDEX(Parámetros!$D$54:$D$60,MATCH($C175,Parámetros!$A$54:$A$60,0)),0)=1,ROUND($I175*Parámetros!$B$16,0),0))</f>
        <v/>
      </c>
      <c r="M175" s="25">
        <f>IF($G175="","",$I175+$J175)</f>
        <v/>
      </c>
      <c r="N175" s="25">
        <f>IF($G175="","",$M175-$L175)</f>
        <v/>
      </c>
      <c r="O175" s="38" t="n"/>
      <c r="P175" s="38" t="n"/>
      <c r="Q175" s="37" t="n"/>
      <c r="R175" s="38" t="n"/>
      <c r="S175" s="40">
        <f>IF($A175="","",YEAR($A175))</f>
        <v/>
      </c>
      <c r="T175" s="40">
        <f>IF($A175="","",MONTH($A175))</f>
        <v/>
      </c>
      <c r="U175" s="40">
        <f>IF($Q175="","",YEAR($Q175))</f>
        <v/>
      </c>
      <c r="V175" s="40">
        <f>IF($Q175="","",MONTH($Q175))</f>
        <v/>
      </c>
    </row>
    <row r="176">
      <c r="A176" s="37" t="n"/>
      <c r="B176" s="38" t="n"/>
      <c r="C176" s="38" t="n"/>
      <c r="D176" s="38" t="n"/>
      <c r="E176" s="38" t="n"/>
      <c r="F176" s="38" t="n"/>
      <c r="G176" s="39" t="n"/>
      <c r="H176" s="38" t="n"/>
      <c r="I176" s="25">
        <f>IF($G176="","",IF(AND($H176="Sí",IFERROR(INDEX(Parámetros!$B$54:$B$60,MATCH($C176,Parámetros!$A$54:$A$60,0)),0)=1),ROUND($G176/(1+Parámetros!$B$13),0),$G176))</f>
        <v/>
      </c>
      <c r="J176" s="25">
        <f>IF($G176="","",IF(IFERROR(INDEX(Parámetros!$B$54:$B$60,MATCH($C176,Parámetros!$A$54:$A$60,0)),0)=1,ROUND($I176*Parámetros!$B$13,0),0))</f>
        <v/>
      </c>
      <c r="K176" s="25">
        <f>IF($G176="","",IF(IFERROR(INDEX(Parámetros!$C$54:$C$60,MATCH($C176,Parámetros!$A$54:$A$60,0)),0)=1,$J176,0))</f>
        <v/>
      </c>
      <c r="L176" s="25">
        <f>IF($G176="","",IF(IFERROR(INDEX(Parámetros!$D$54:$D$60,MATCH($C176,Parámetros!$A$54:$A$60,0)),0)=1,ROUND($I176*Parámetros!$B$16,0),0))</f>
        <v/>
      </c>
      <c r="M176" s="25">
        <f>IF($G176="","",$I176+$J176)</f>
        <v/>
      </c>
      <c r="N176" s="25">
        <f>IF($G176="","",$M176-$L176)</f>
        <v/>
      </c>
      <c r="O176" s="38" t="n"/>
      <c r="P176" s="38" t="n"/>
      <c r="Q176" s="37" t="n"/>
      <c r="R176" s="38" t="n"/>
      <c r="S176" s="40">
        <f>IF($A176="","",YEAR($A176))</f>
        <v/>
      </c>
      <c r="T176" s="40">
        <f>IF($A176="","",MONTH($A176))</f>
        <v/>
      </c>
      <c r="U176" s="40">
        <f>IF($Q176="","",YEAR($Q176))</f>
        <v/>
      </c>
      <c r="V176" s="40">
        <f>IF($Q176="","",MONTH($Q176))</f>
        <v/>
      </c>
    </row>
    <row r="177">
      <c r="A177" s="37" t="n"/>
      <c r="B177" s="38" t="n"/>
      <c r="C177" s="38" t="n"/>
      <c r="D177" s="38" t="n"/>
      <c r="E177" s="38" t="n"/>
      <c r="F177" s="38" t="n"/>
      <c r="G177" s="39" t="n"/>
      <c r="H177" s="38" t="n"/>
      <c r="I177" s="25">
        <f>IF($G177="","",IF(AND($H177="Sí",IFERROR(INDEX(Parámetros!$B$54:$B$60,MATCH($C177,Parámetros!$A$54:$A$60,0)),0)=1),ROUND($G177/(1+Parámetros!$B$13),0),$G177))</f>
        <v/>
      </c>
      <c r="J177" s="25">
        <f>IF($G177="","",IF(IFERROR(INDEX(Parámetros!$B$54:$B$60,MATCH($C177,Parámetros!$A$54:$A$60,0)),0)=1,ROUND($I177*Parámetros!$B$13,0),0))</f>
        <v/>
      </c>
      <c r="K177" s="25">
        <f>IF($G177="","",IF(IFERROR(INDEX(Parámetros!$C$54:$C$60,MATCH($C177,Parámetros!$A$54:$A$60,0)),0)=1,$J177,0))</f>
        <v/>
      </c>
      <c r="L177" s="25">
        <f>IF($G177="","",IF(IFERROR(INDEX(Parámetros!$D$54:$D$60,MATCH($C177,Parámetros!$A$54:$A$60,0)),0)=1,ROUND($I177*Parámetros!$B$16,0),0))</f>
        <v/>
      </c>
      <c r="M177" s="25">
        <f>IF($G177="","",$I177+$J177)</f>
        <v/>
      </c>
      <c r="N177" s="25">
        <f>IF($G177="","",$M177-$L177)</f>
        <v/>
      </c>
      <c r="O177" s="38" t="n"/>
      <c r="P177" s="38" t="n"/>
      <c r="Q177" s="37" t="n"/>
      <c r="R177" s="38" t="n"/>
      <c r="S177" s="40">
        <f>IF($A177="","",YEAR($A177))</f>
        <v/>
      </c>
      <c r="T177" s="40">
        <f>IF($A177="","",MONTH($A177))</f>
        <v/>
      </c>
      <c r="U177" s="40">
        <f>IF($Q177="","",YEAR($Q177))</f>
        <v/>
      </c>
      <c r="V177" s="40">
        <f>IF($Q177="","",MONTH($Q177))</f>
        <v/>
      </c>
    </row>
    <row r="178">
      <c r="A178" s="37" t="n"/>
      <c r="B178" s="38" t="n"/>
      <c r="C178" s="38" t="n"/>
      <c r="D178" s="38" t="n"/>
      <c r="E178" s="38" t="n"/>
      <c r="F178" s="38" t="n"/>
      <c r="G178" s="39" t="n"/>
      <c r="H178" s="38" t="n"/>
      <c r="I178" s="25">
        <f>IF($G178="","",IF(AND($H178="Sí",IFERROR(INDEX(Parámetros!$B$54:$B$60,MATCH($C178,Parámetros!$A$54:$A$60,0)),0)=1),ROUND($G178/(1+Parámetros!$B$13),0),$G178))</f>
        <v/>
      </c>
      <c r="J178" s="25">
        <f>IF($G178="","",IF(IFERROR(INDEX(Parámetros!$B$54:$B$60,MATCH($C178,Parámetros!$A$54:$A$60,0)),0)=1,ROUND($I178*Parámetros!$B$13,0),0))</f>
        <v/>
      </c>
      <c r="K178" s="25">
        <f>IF($G178="","",IF(IFERROR(INDEX(Parámetros!$C$54:$C$60,MATCH($C178,Parámetros!$A$54:$A$60,0)),0)=1,$J178,0))</f>
        <v/>
      </c>
      <c r="L178" s="25">
        <f>IF($G178="","",IF(IFERROR(INDEX(Parámetros!$D$54:$D$60,MATCH($C178,Parámetros!$A$54:$A$60,0)),0)=1,ROUND($I178*Parámetros!$B$16,0),0))</f>
        <v/>
      </c>
      <c r="M178" s="25">
        <f>IF($G178="","",$I178+$J178)</f>
        <v/>
      </c>
      <c r="N178" s="25">
        <f>IF($G178="","",$M178-$L178)</f>
        <v/>
      </c>
      <c r="O178" s="38" t="n"/>
      <c r="P178" s="38" t="n"/>
      <c r="Q178" s="37" t="n"/>
      <c r="R178" s="38" t="n"/>
      <c r="S178" s="40">
        <f>IF($A178="","",YEAR($A178))</f>
        <v/>
      </c>
      <c r="T178" s="40">
        <f>IF($A178="","",MONTH($A178))</f>
        <v/>
      </c>
      <c r="U178" s="40">
        <f>IF($Q178="","",YEAR($Q178))</f>
        <v/>
      </c>
      <c r="V178" s="40">
        <f>IF($Q178="","",MONTH($Q178))</f>
        <v/>
      </c>
    </row>
    <row r="179">
      <c r="A179" s="37" t="n"/>
      <c r="B179" s="38" t="n"/>
      <c r="C179" s="38" t="n"/>
      <c r="D179" s="38" t="n"/>
      <c r="E179" s="38" t="n"/>
      <c r="F179" s="38" t="n"/>
      <c r="G179" s="39" t="n"/>
      <c r="H179" s="38" t="n"/>
      <c r="I179" s="25">
        <f>IF($G179="","",IF(AND($H179="Sí",IFERROR(INDEX(Parámetros!$B$54:$B$60,MATCH($C179,Parámetros!$A$54:$A$60,0)),0)=1),ROUND($G179/(1+Parámetros!$B$13),0),$G179))</f>
        <v/>
      </c>
      <c r="J179" s="25">
        <f>IF($G179="","",IF(IFERROR(INDEX(Parámetros!$B$54:$B$60,MATCH($C179,Parámetros!$A$54:$A$60,0)),0)=1,ROUND($I179*Parámetros!$B$13,0),0))</f>
        <v/>
      </c>
      <c r="K179" s="25">
        <f>IF($G179="","",IF(IFERROR(INDEX(Parámetros!$C$54:$C$60,MATCH($C179,Parámetros!$A$54:$A$60,0)),0)=1,$J179,0))</f>
        <v/>
      </c>
      <c r="L179" s="25">
        <f>IF($G179="","",IF(IFERROR(INDEX(Parámetros!$D$54:$D$60,MATCH($C179,Parámetros!$A$54:$A$60,0)),0)=1,ROUND($I179*Parámetros!$B$16,0),0))</f>
        <v/>
      </c>
      <c r="M179" s="25">
        <f>IF($G179="","",$I179+$J179)</f>
        <v/>
      </c>
      <c r="N179" s="25">
        <f>IF($G179="","",$M179-$L179)</f>
        <v/>
      </c>
      <c r="O179" s="38" t="n"/>
      <c r="P179" s="38" t="n"/>
      <c r="Q179" s="37" t="n"/>
      <c r="R179" s="38" t="n"/>
      <c r="S179" s="40">
        <f>IF($A179="","",YEAR($A179))</f>
        <v/>
      </c>
      <c r="T179" s="40">
        <f>IF($A179="","",MONTH($A179))</f>
        <v/>
      </c>
      <c r="U179" s="40">
        <f>IF($Q179="","",YEAR($Q179))</f>
        <v/>
      </c>
      <c r="V179" s="40">
        <f>IF($Q179="","",MONTH($Q179))</f>
        <v/>
      </c>
    </row>
    <row r="180">
      <c r="A180" s="37" t="n"/>
      <c r="B180" s="38" t="n"/>
      <c r="C180" s="38" t="n"/>
      <c r="D180" s="38" t="n"/>
      <c r="E180" s="38" t="n"/>
      <c r="F180" s="38" t="n"/>
      <c r="G180" s="39" t="n"/>
      <c r="H180" s="38" t="n"/>
      <c r="I180" s="25">
        <f>IF($G180="","",IF(AND($H180="Sí",IFERROR(INDEX(Parámetros!$B$54:$B$60,MATCH($C180,Parámetros!$A$54:$A$60,0)),0)=1),ROUND($G180/(1+Parámetros!$B$13),0),$G180))</f>
        <v/>
      </c>
      <c r="J180" s="25">
        <f>IF($G180="","",IF(IFERROR(INDEX(Parámetros!$B$54:$B$60,MATCH($C180,Parámetros!$A$54:$A$60,0)),0)=1,ROUND($I180*Parámetros!$B$13,0),0))</f>
        <v/>
      </c>
      <c r="K180" s="25">
        <f>IF($G180="","",IF(IFERROR(INDEX(Parámetros!$C$54:$C$60,MATCH($C180,Parámetros!$A$54:$A$60,0)),0)=1,$J180,0))</f>
        <v/>
      </c>
      <c r="L180" s="25">
        <f>IF($G180="","",IF(IFERROR(INDEX(Parámetros!$D$54:$D$60,MATCH($C180,Parámetros!$A$54:$A$60,0)),0)=1,ROUND($I180*Parámetros!$B$16,0),0))</f>
        <v/>
      </c>
      <c r="M180" s="25">
        <f>IF($G180="","",$I180+$J180)</f>
        <v/>
      </c>
      <c r="N180" s="25">
        <f>IF($G180="","",$M180-$L180)</f>
        <v/>
      </c>
      <c r="O180" s="38" t="n"/>
      <c r="P180" s="38" t="n"/>
      <c r="Q180" s="37" t="n"/>
      <c r="R180" s="38" t="n"/>
      <c r="S180" s="40">
        <f>IF($A180="","",YEAR($A180))</f>
        <v/>
      </c>
      <c r="T180" s="40">
        <f>IF($A180="","",MONTH($A180))</f>
        <v/>
      </c>
      <c r="U180" s="40">
        <f>IF($Q180="","",YEAR($Q180))</f>
        <v/>
      </c>
      <c r="V180" s="40">
        <f>IF($Q180="","",MONTH($Q180))</f>
        <v/>
      </c>
    </row>
    <row r="181">
      <c r="A181" s="37" t="n"/>
      <c r="B181" s="38" t="n"/>
      <c r="C181" s="38" t="n"/>
      <c r="D181" s="38" t="n"/>
      <c r="E181" s="38" t="n"/>
      <c r="F181" s="38" t="n"/>
      <c r="G181" s="39" t="n"/>
      <c r="H181" s="38" t="n"/>
      <c r="I181" s="25">
        <f>IF($G181="","",IF(AND($H181="Sí",IFERROR(INDEX(Parámetros!$B$54:$B$60,MATCH($C181,Parámetros!$A$54:$A$60,0)),0)=1),ROUND($G181/(1+Parámetros!$B$13),0),$G181))</f>
        <v/>
      </c>
      <c r="J181" s="25">
        <f>IF($G181="","",IF(IFERROR(INDEX(Parámetros!$B$54:$B$60,MATCH($C181,Parámetros!$A$54:$A$60,0)),0)=1,ROUND($I181*Parámetros!$B$13,0),0))</f>
        <v/>
      </c>
      <c r="K181" s="25">
        <f>IF($G181="","",IF(IFERROR(INDEX(Parámetros!$C$54:$C$60,MATCH($C181,Parámetros!$A$54:$A$60,0)),0)=1,$J181,0))</f>
        <v/>
      </c>
      <c r="L181" s="25">
        <f>IF($G181="","",IF(IFERROR(INDEX(Parámetros!$D$54:$D$60,MATCH($C181,Parámetros!$A$54:$A$60,0)),0)=1,ROUND($I181*Parámetros!$B$16,0),0))</f>
        <v/>
      </c>
      <c r="M181" s="25">
        <f>IF($G181="","",$I181+$J181)</f>
        <v/>
      </c>
      <c r="N181" s="25">
        <f>IF($G181="","",$M181-$L181)</f>
        <v/>
      </c>
      <c r="O181" s="38" t="n"/>
      <c r="P181" s="38" t="n"/>
      <c r="Q181" s="37" t="n"/>
      <c r="R181" s="38" t="n"/>
      <c r="S181" s="40">
        <f>IF($A181="","",YEAR($A181))</f>
        <v/>
      </c>
      <c r="T181" s="40">
        <f>IF($A181="","",MONTH($A181))</f>
        <v/>
      </c>
      <c r="U181" s="40">
        <f>IF($Q181="","",YEAR($Q181))</f>
        <v/>
      </c>
      <c r="V181" s="40">
        <f>IF($Q181="","",MONTH($Q181))</f>
        <v/>
      </c>
    </row>
    <row r="182">
      <c r="A182" s="37" t="n"/>
      <c r="B182" s="38" t="n"/>
      <c r="C182" s="38" t="n"/>
      <c r="D182" s="38" t="n"/>
      <c r="E182" s="38" t="n"/>
      <c r="F182" s="38" t="n"/>
      <c r="G182" s="39" t="n"/>
      <c r="H182" s="38" t="n"/>
      <c r="I182" s="25">
        <f>IF($G182="","",IF(AND($H182="Sí",IFERROR(INDEX(Parámetros!$B$54:$B$60,MATCH($C182,Parámetros!$A$54:$A$60,0)),0)=1),ROUND($G182/(1+Parámetros!$B$13),0),$G182))</f>
        <v/>
      </c>
      <c r="J182" s="25">
        <f>IF($G182="","",IF(IFERROR(INDEX(Parámetros!$B$54:$B$60,MATCH($C182,Parámetros!$A$54:$A$60,0)),0)=1,ROUND($I182*Parámetros!$B$13,0),0))</f>
        <v/>
      </c>
      <c r="K182" s="25">
        <f>IF($G182="","",IF(IFERROR(INDEX(Parámetros!$C$54:$C$60,MATCH($C182,Parámetros!$A$54:$A$60,0)),0)=1,$J182,0))</f>
        <v/>
      </c>
      <c r="L182" s="25">
        <f>IF($G182="","",IF(IFERROR(INDEX(Parámetros!$D$54:$D$60,MATCH($C182,Parámetros!$A$54:$A$60,0)),0)=1,ROUND($I182*Parámetros!$B$16,0),0))</f>
        <v/>
      </c>
      <c r="M182" s="25">
        <f>IF($G182="","",$I182+$J182)</f>
        <v/>
      </c>
      <c r="N182" s="25">
        <f>IF($G182="","",$M182-$L182)</f>
        <v/>
      </c>
      <c r="O182" s="38" t="n"/>
      <c r="P182" s="38" t="n"/>
      <c r="Q182" s="37" t="n"/>
      <c r="R182" s="38" t="n"/>
      <c r="S182" s="40">
        <f>IF($A182="","",YEAR($A182))</f>
        <v/>
      </c>
      <c r="T182" s="40">
        <f>IF($A182="","",MONTH($A182))</f>
        <v/>
      </c>
      <c r="U182" s="40">
        <f>IF($Q182="","",YEAR($Q182))</f>
        <v/>
      </c>
      <c r="V182" s="40">
        <f>IF($Q182="","",MONTH($Q182))</f>
        <v/>
      </c>
    </row>
    <row r="183">
      <c r="A183" s="37" t="n"/>
      <c r="B183" s="38" t="n"/>
      <c r="C183" s="38" t="n"/>
      <c r="D183" s="38" t="n"/>
      <c r="E183" s="38" t="n"/>
      <c r="F183" s="38" t="n"/>
      <c r="G183" s="39" t="n"/>
      <c r="H183" s="38" t="n"/>
      <c r="I183" s="25">
        <f>IF($G183="","",IF(AND($H183="Sí",IFERROR(INDEX(Parámetros!$B$54:$B$60,MATCH($C183,Parámetros!$A$54:$A$60,0)),0)=1),ROUND($G183/(1+Parámetros!$B$13),0),$G183))</f>
        <v/>
      </c>
      <c r="J183" s="25">
        <f>IF($G183="","",IF(IFERROR(INDEX(Parámetros!$B$54:$B$60,MATCH($C183,Parámetros!$A$54:$A$60,0)),0)=1,ROUND($I183*Parámetros!$B$13,0),0))</f>
        <v/>
      </c>
      <c r="K183" s="25">
        <f>IF($G183="","",IF(IFERROR(INDEX(Parámetros!$C$54:$C$60,MATCH($C183,Parámetros!$A$54:$A$60,0)),0)=1,$J183,0))</f>
        <v/>
      </c>
      <c r="L183" s="25">
        <f>IF($G183="","",IF(IFERROR(INDEX(Parámetros!$D$54:$D$60,MATCH($C183,Parámetros!$A$54:$A$60,0)),0)=1,ROUND($I183*Parámetros!$B$16,0),0))</f>
        <v/>
      </c>
      <c r="M183" s="25">
        <f>IF($G183="","",$I183+$J183)</f>
        <v/>
      </c>
      <c r="N183" s="25">
        <f>IF($G183="","",$M183-$L183)</f>
        <v/>
      </c>
      <c r="O183" s="38" t="n"/>
      <c r="P183" s="38" t="n"/>
      <c r="Q183" s="37" t="n"/>
      <c r="R183" s="38" t="n"/>
      <c r="S183" s="40">
        <f>IF($A183="","",YEAR($A183))</f>
        <v/>
      </c>
      <c r="T183" s="40">
        <f>IF($A183="","",MONTH($A183))</f>
        <v/>
      </c>
      <c r="U183" s="40">
        <f>IF($Q183="","",YEAR($Q183))</f>
        <v/>
      </c>
      <c r="V183" s="40">
        <f>IF($Q183="","",MONTH($Q183))</f>
        <v/>
      </c>
    </row>
    <row r="184">
      <c r="A184" s="37" t="n"/>
      <c r="B184" s="38" t="n"/>
      <c r="C184" s="38" t="n"/>
      <c r="D184" s="38" t="n"/>
      <c r="E184" s="38" t="n"/>
      <c r="F184" s="38" t="n"/>
      <c r="G184" s="39" t="n"/>
      <c r="H184" s="38" t="n"/>
      <c r="I184" s="25">
        <f>IF($G184="","",IF(AND($H184="Sí",IFERROR(INDEX(Parámetros!$B$54:$B$60,MATCH($C184,Parámetros!$A$54:$A$60,0)),0)=1),ROUND($G184/(1+Parámetros!$B$13),0),$G184))</f>
        <v/>
      </c>
      <c r="J184" s="25">
        <f>IF($G184="","",IF(IFERROR(INDEX(Parámetros!$B$54:$B$60,MATCH($C184,Parámetros!$A$54:$A$60,0)),0)=1,ROUND($I184*Parámetros!$B$13,0),0))</f>
        <v/>
      </c>
      <c r="K184" s="25">
        <f>IF($G184="","",IF(IFERROR(INDEX(Parámetros!$C$54:$C$60,MATCH($C184,Parámetros!$A$54:$A$60,0)),0)=1,$J184,0))</f>
        <v/>
      </c>
      <c r="L184" s="25">
        <f>IF($G184="","",IF(IFERROR(INDEX(Parámetros!$D$54:$D$60,MATCH($C184,Parámetros!$A$54:$A$60,0)),0)=1,ROUND($I184*Parámetros!$B$16,0),0))</f>
        <v/>
      </c>
      <c r="M184" s="25">
        <f>IF($G184="","",$I184+$J184)</f>
        <v/>
      </c>
      <c r="N184" s="25">
        <f>IF($G184="","",$M184-$L184)</f>
        <v/>
      </c>
      <c r="O184" s="38" t="n"/>
      <c r="P184" s="38" t="n"/>
      <c r="Q184" s="37" t="n"/>
      <c r="R184" s="38" t="n"/>
      <c r="S184" s="40">
        <f>IF($A184="","",YEAR($A184))</f>
        <v/>
      </c>
      <c r="T184" s="40">
        <f>IF($A184="","",MONTH($A184))</f>
        <v/>
      </c>
      <c r="U184" s="40">
        <f>IF($Q184="","",YEAR($Q184))</f>
        <v/>
      </c>
      <c r="V184" s="40">
        <f>IF($Q184="","",MONTH($Q184))</f>
        <v/>
      </c>
    </row>
    <row r="185">
      <c r="A185" s="37" t="n"/>
      <c r="B185" s="38" t="n"/>
      <c r="C185" s="38" t="n"/>
      <c r="D185" s="38" t="n"/>
      <c r="E185" s="38" t="n"/>
      <c r="F185" s="38" t="n"/>
      <c r="G185" s="39" t="n"/>
      <c r="H185" s="38" t="n"/>
      <c r="I185" s="25">
        <f>IF($G185="","",IF(AND($H185="Sí",IFERROR(INDEX(Parámetros!$B$54:$B$60,MATCH($C185,Parámetros!$A$54:$A$60,0)),0)=1),ROUND($G185/(1+Parámetros!$B$13),0),$G185))</f>
        <v/>
      </c>
      <c r="J185" s="25">
        <f>IF($G185="","",IF(IFERROR(INDEX(Parámetros!$B$54:$B$60,MATCH($C185,Parámetros!$A$54:$A$60,0)),0)=1,ROUND($I185*Parámetros!$B$13,0),0))</f>
        <v/>
      </c>
      <c r="K185" s="25">
        <f>IF($G185="","",IF(IFERROR(INDEX(Parámetros!$C$54:$C$60,MATCH($C185,Parámetros!$A$54:$A$60,0)),0)=1,$J185,0))</f>
        <v/>
      </c>
      <c r="L185" s="25">
        <f>IF($G185="","",IF(IFERROR(INDEX(Parámetros!$D$54:$D$60,MATCH($C185,Parámetros!$A$54:$A$60,0)),0)=1,ROUND($I185*Parámetros!$B$16,0),0))</f>
        <v/>
      </c>
      <c r="M185" s="25">
        <f>IF($G185="","",$I185+$J185)</f>
        <v/>
      </c>
      <c r="N185" s="25">
        <f>IF($G185="","",$M185-$L185)</f>
        <v/>
      </c>
      <c r="O185" s="38" t="n"/>
      <c r="P185" s="38" t="n"/>
      <c r="Q185" s="37" t="n"/>
      <c r="R185" s="38" t="n"/>
      <c r="S185" s="40">
        <f>IF($A185="","",YEAR($A185))</f>
        <v/>
      </c>
      <c r="T185" s="40">
        <f>IF($A185="","",MONTH($A185))</f>
        <v/>
      </c>
      <c r="U185" s="40">
        <f>IF($Q185="","",YEAR($Q185))</f>
        <v/>
      </c>
      <c r="V185" s="40">
        <f>IF($Q185="","",MONTH($Q185))</f>
        <v/>
      </c>
    </row>
    <row r="186">
      <c r="A186" s="37" t="n"/>
      <c r="B186" s="38" t="n"/>
      <c r="C186" s="38" t="n"/>
      <c r="D186" s="38" t="n"/>
      <c r="E186" s="38" t="n"/>
      <c r="F186" s="38" t="n"/>
      <c r="G186" s="39" t="n"/>
      <c r="H186" s="38" t="n"/>
      <c r="I186" s="25">
        <f>IF($G186="","",IF(AND($H186="Sí",IFERROR(INDEX(Parámetros!$B$54:$B$60,MATCH($C186,Parámetros!$A$54:$A$60,0)),0)=1),ROUND($G186/(1+Parámetros!$B$13),0),$G186))</f>
        <v/>
      </c>
      <c r="J186" s="25">
        <f>IF($G186="","",IF(IFERROR(INDEX(Parámetros!$B$54:$B$60,MATCH($C186,Parámetros!$A$54:$A$60,0)),0)=1,ROUND($I186*Parámetros!$B$13,0),0))</f>
        <v/>
      </c>
      <c r="K186" s="25">
        <f>IF($G186="","",IF(IFERROR(INDEX(Parámetros!$C$54:$C$60,MATCH($C186,Parámetros!$A$54:$A$60,0)),0)=1,$J186,0))</f>
        <v/>
      </c>
      <c r="L186" s="25">
        <f>IF($G186="","",IF(IFERROR(INDEX(Parámetros!$D$54:$D$60,MATCH($C186,Parámetros!$A$54:$A$60,0)),0)=1,ROUND($I186*Parámetros!$B$16,0),0))</f>
        <v/>
      </c>
      <c r="M186" s="25">
        <f>IF($G186="","",$I186+$J186)</f>
        <v/>
      </c>
      <c r="N186" s="25">
        <f>IF($G186="","",$M186-$L186)</f>
        <v/>
      </c>
      <c r="O186" s="38" t="n"/>
      <c r="P186" s="38" t="n"/>
      <c r="Q186" s="37" t="n"/>
      <c r="R186" s="38" t="n"/>
      <c r="S186" s="40">
        <f>IF($A186="","",YEAR($A186))</f>
        <v/>
      </c>
      <c r="T186" s="40">
        <f>IF($A186="","",MONTH($A186))</f>
        <v/>
      </c>
      <c r="U186" s="40">
        <f>IF($Q186="","",YEAR($Q186))</f>
        <v/>
      </c>
      <c r="V186" s="40">
        <f>IF($Q186="","",MONTH($Q186))</f>
        <v/>
      </c>
    </row>
    <row r="187">
      <c r="A187" s="37" t="n"/>
      <c r="B187" s="38" t="n"/>
      <c r="C187" s="38" t="n"/>
      <c r="D187" s="38" t="n"/>
      <c r="E187" s="38" t="n"/>
      <c r="F187" s="38" t="n"/>
      <c r="G187" s="39" t="n"/>
      <c r="H187" s="38" t="n"/>
      <c r="I187" s="25">
        <f>IF($G187="","",IF(AND($H187="Sí",IFERROR(INDEX(Parámetros!$B$54:$B$60,MATCH($C187,Parámetros!$A$54:$A$60,0)),0)=1),ROUND($G187/(1+Parámetros!$B$13),0),$G187))</f>
        <v/>
      </c>
      <c r="J187" s="25">
        <f>IF($G187="","",IF(IFERROR(INDEX(Parámetros!$B$54:$B$60,MATCH($C187,Parámetros!$A$54:$A$60,0)),0)=1,ROUND($I187*Parámetros!$B$13,0),0))</f>
        <v/>
      </c>
      <c r="K187" s="25">
        <f>IF($G187="","",IF(IFERROR(INDEX(Parámetros!$C$54:$C$60,MATCH($C187,Parámetros!$A$54:$A$60,0)),0)=1,$J187,0))</f>
        <v/>
      </c>
      <c r="L187" s="25">
        <f>IF($G187="","",IF(IFERROR(INDEX(Parámetros!$D$54:$D$60,MATCH($C187,Parámetros!$A$54:$A$60,0)),0)=1,ROUND($I187*Parámetros!$B$16,0),0))</f>
        <v/>
      </c>
      <c r="M187" s="25">
        <f>IF($G187="","",$I187+$J187)</f>
        <v/>
      </c>
      <c r="N187" s="25">
        <f>IF($G187="","",$M187-$L187)</f>
        <v/>
      </c>
      <c r="O187" s="38" t="n"/>
      <c r="P187" s="38" t="n"/>
      <c r="Q187" s="37" t="n"/>
      <c r="R187" s="38" t="n"/>
      <c r="S187" s="40">
        <f>IF($A187="","",YEAR($A187))</f>
        <v/>
      </c>
      <c r="T187" s="40">
        <f>IF($A187="","",MONTH($A187))</f>
        <v/>
      </c>
      <c r="U187" s="40">
        <f>IF($Q187="","",YEAR($Q187))</f>
        <v/>
      </c>
      <c r="V187" s="40">
        <f>IF($Q187="","",MONTH($Q187))</f>
        <v/>
      </c>
    </row>
    <row r="188">
      <c r="A188" s="37" t="n"/>
      <c r="B188" s="38" t="n"/>
      <c r="C188" s="38" t="n"/>
      <c r="D188" s="38" t="n"/>
      <c r="E188" s="38" t="n"/>
      <c r="F188" s="38" t="n"/>
      <c r="G188" s="39" t="n"/>
      <c r="H188" s="38" t="n"/>
      <c r="I188" s="25">
        <f>IF($G188="","",IF(AND($H188="Sí",IFERROR(INDEX(Parámetros!$B$54:$B$60,MATCH($C188,Parámetros!$A$54:$A$60,0)),0)=1),ROUND($G188/(1+Parámetros!$B$13),0),$G188))</f>
        <v/>
      </c>
      <c r="J188" s="25">
        <f>IF($G188="","",IF(IFERROR(INDEX(Parámetros!$B$54:$B$60,MATCH($C188,Parámetros!$A$54:$A$60,0)),0)=1,ROUND($I188*Parámetros!$B$13,0),0))</f>
        <v/>
      </c>
      <c r="K188" s="25">
        <f>IF($G188="","",IF(IFERROR(INDEX(Parámetros!$C$54:$C$60,MATCH($C188,Parámetros!$A$54:$A$60,0)),0)=1,$J188,0))</f>
        <v/>
      </c>
      <c r="L188" s="25">
        <f>IF($G188="","",IF(IFERROR(INDEX(Parámetros!$D$54:$D$60,MATCH($C188,Parámetros!$A$54:$A$60,0)),0)=1,ROUND($I188*Parámetros!$B$16,0),0))</f>
        <v/>
      </c>
      <c r="M188" s="25">
        <f>IF($G188="","",$I188+$J188)</f>
        <v/>
      </c>
      <c r="N188" s="25">
        <f>IF($G188="","",$M188-$L188)</f>
        <v/>
      </c>
      <c r="O188" s="38" t="n"/>
      <c r="P188" s="38" t="n"/>
      <c r="Q188" s="37" t="n"/>
      <c r="R188" s="38" t="n"/>
      <c r="S188" s="40">
        <f>IF($A188="","",YEAR($A188))</f>
        <v/>
      </c>
      <c r="T188" s="40">
        <f>IF($A188="","",MONTH($A188))</f>
        <v/>
      </c>
      <c r="U188" s="40">
        <f>IF($Q188="","",YEAR($Q188))</f>
        <v/>
      </c>
      <c r="V188" s="40">
        <f>IF($Q188="","",MONTH($Q188))</f>
        <v/>
      </c>
    </row>
    <row r="189">
      <c r="A189" s="37" t="n"/>
      <c r="B189" s="38" t="n"/>
      <c r="C189" s="38" t="n"/>
      <c r="D189" s="38" t="n"/>
      <c r="E189" s="38" t="n"/>
      <c r="F189" s="38" t="n"/>
      <c r="G189" s="39" t="n"/>
      <c r="H189" s="38" t="n"/>
      <c r="I189" s="25">
        <f>IF($G189="","",IF(AND($H189="Sí",IFERROR(INDEX(Parámetros!$B$54:$B$60,MATCH($C189,Parámetros!$A$54:$A$60,0)),0)=1),ROUND($G189/(1+Parámetros!$B$13),0),$G189))</f>
        <v/>
      </c>
      <c r="J189" s="25">
        <f>IF($G189="","",IF(IFERROR(INDEX(Parámetros!$B$54:$B$60,MATCH($C189,Parámetros!$A$54:$A$60,0)),0)=1,ROUND($I189*Parámetros!$B$13,0),0))</f>
        <v/>
      </c>
      <c r="K189" s="25">
        <f>IF($G189="","",IF(IFERROR(INDEX(Parámetros!$C$54:$C$60,MATCH($C189,Parámetros!$A$54:$A$60,0)),0)=1,$J189,0))</f>
        <v/>
      </c>
      <c r="L189" s="25">
        <f>IF($G189="","",IF(IFERROR(INDEX(Parámetros!$D$54:$D$60,MATCH($C189,Parámetros!$A$54:$A$60,0)),0)=1,ROUND($I189*Parámetros!$B$16,0),0))</f>
        <v/>
      </c>
      <c r="M189" s="25">
        <f>IF($G189="","",$I189+$J189)</f>
        <v/>
      </c>
      <c r="N189" s="25">
        <f>IF($G189="","",$M189-$L189)</f>
        <v/>
      </c>
      <c r="O189" s="38" t="n"/>
      <c r="P189" s="38" t="n"/>
      <c r="Q189" s="37" t="n"/>
      <c r="R189" s="38" t="n"/>
      <c r="S189" s="40">
        <f>IF($A189="","",YEAR($A189))</f>
        <v/>
      </c>
      <c r="T189" s="40">
        <f>IF($A189="","",MONTH($A189))</f>
        <v/>
      </c>
      <c r="U189" s="40">
        <f>IF($Q189="","",YEAR($Q189))</f>
        <v/>
      </c>
      <c r="V189" s="40">
        <f>IF($Q189="","",MONTH($Q189))</f>
        <v/>
      </c>
    </row>
    <row r="190">
      <c r="A190" s="37" t="n"/>
      <c r="B190" s="38" t="n"/>
      <c r="C190" s="38" t="n"/>
      <c r="D190" s="38" t="n"/>
      <c r="E190" s="38" t="n"/>
      <c r="F190" s="38" t="n"/>
      <c r="G190" s="39" t="n"/>
      <c r="H190" s="38" t="n"/>
      <c r="I190" s="25">
        <f>IF($G190="","",IF(AND($H190="Sí",IFERROR(INDEX(Parámetros!$B$54:$B$60,MATCH($C190,Parámetros!$A$54:$A$60,0)),0)=1),ROUND($G190/(1+Parámetros!$B$13),0),$G190))</f>
        <v/>
      </c>
      <c r="J190" s="25">
        <f>IF($G190="","",IF(IFERROR(INDEX(Parámetros!$B$54:$B$60,MATCH($C190,Parámetros!$A$54:$A$60,0)),0)=1,ROUND($I190*Parámetros!$B$13,0),0))</f>
        <v/>
      </c>
      <c r="K190" s="25">
        <f>IF($G190="","",IF(IFERROR(INDEX(Parámetros!$C$54:$C$60,MATCH($C190,Parámetros!$A$54:$A$60,0)),0)=1,$J190,0))</f>
        <v/>
      </c>
      <c r="L190" s="25">
        <f>IF($G190="","",IF(IFERROR(INDEX(Parámetros!$D$54:$D$60,MATCH($C190,Parámetros!$A$54:$A$60,0)),0)=1,ROUND($I190*Parámetros!$B$16,0),0))</f>
        <v/>
      </c>
      <c r="M190" s="25">
        <f>IF($G190="","",$I190+$J190)</f>
        <v/>
      </c>
      <c r="N190" s="25">
        <f>IF($G190="","",$M190-$L190)</f>
        <v/>
      </c>
      <c r="O190" s="38" t="n"/>
      <c r="P190" s="38" t="n"/>
      <c r="Q190" s="37" t="n"/>
      <c r="R190" s="38" t="n"/>
      <c r="S190" s="40">
        <f>IF($A190="","",YEAR($A190))</f>
        <v/>
      </c>
      <c r="T190" s="40">
        <f>IF($A190="","",MONTH($A190))</f>
        <v/>
      </c>
      <c r="U190" s="40">
        <f>IF($Q190="","",YEAR($Q190))</f>
        <v/>
      </c>
      <c r="V190" s="40">
        <f>IF($Q190="","",MONTH($Q190))</f>
        <v/>
      </c>
    </row>
    <row r="191">
      <c r="A191" s="37" t="n"/>
      <c r="B191" s="38" t="n"/>
      <c r="C191" s="38" t="n"/>
      <c r="D191" s="38" t="n"/>
      <c r="E191" s="38" t="n"/>
      <c r="F191" s="38" t="n"/>
      <c r="G191" s="39" t="n"/>
      <c r="H191" s="38" t="n"/>
      <c r="I191" s="25">
        <f>IF($G191="","",IF(AND($H191="Sí",IFERROR(INDEX(Parámetros!$B$54:$B$60,MATCH($C191,Parámetros!$A$54:$A$60,0)),0)=1),ROUND($G191/(1+Parámetros!$B$13),0),$G191))</f>
        <v/>
      </c>
      <c r="J191" s="25">
        <f>IF($G191="","",IF(IFERROR(INDEX(Parámetros!$B$54:$B$60,MATCH($C191,Parámetros!$A$54:$A$60,0)),0)=1,ROUND($I191*Parámetros!$B$13,0),0))</f>
        <v/>
      </c>
      <c r="K191" s="25">
        <f>IF($G191="","",IF(IFERROR(INDEX(Parámetros!$C$54:$C$60,MATCH($C191,Parámetros!$A$54:$A$60,0)),0)=1,$J191,0))</f>
        <v/>
      </c>
      <c r="L191" s="25">
        <f>IF($G191="","",IF(IFERROR(INDEX(Parámetros!$D$54:$D$60,MATCH($C191,Parámetros!$A$54:$A$60,0)),0)=1,ROUND($I191*Parámetros!$B$16,0),0))</f>
        <v/>
      </c>
      <c r="M191" s="25">
        <f>IF($G191="","",$I191+$J191)</f>
        <v/>
      </c>
      <c r="N191" s="25">
        <f>IF($G191="","",$M191-$L191)</f>
        <v/>
      </c>
      <c r="O191" s="38" t="n"/>
      <c r="P191" s="38" t="n"/>
      <c r="Q191" s="37" t="n"/>
      <c r="R191" s="38" t="n"/>
      <c r="S191" s="40">
        <f>IF($A191="","",YEAR($A191))</f>
        <v/>
      </c>
      <c r="T191" s="40">
        <f>IF($A191="","",MONTH($A191))</f>
        <v/>
      </c>
      <c r="U191" s="40">
        <f>IF($Q191="","",YEAR($Q191))</f>
        <v/>
      </c>
      <c r="V191" s="40">
        <f>IF($Q191="","",MONTH($Q191))</f>
        <v/>
      </c>
    </row>
    <row r="192">
      <c r="A192" s="37" t="n"/>
      <c r="B192" s="38" t="n"/>
      <c r="C192" s="38" t="n"/>
      <c r="D192" s="38" t="n"/>
      <c r="E192" s="38" t="n"/>
      <c r="F192" s="38" t="n"/>
      <c r="G192" s="39" t="n"/>
      <c r="H192" s="38" t="n"/>
      <c r="I192" s="25">
        <f>IF($G192="","",IF(AND($H192="Sí",IFERROR(INDEX(Parámetros!$B$54:$B$60,MATCH($C192,Parámetros!$A$54:$A$60,0)),0)=1),ROUND($G192/(1+Parámetros!$B$13),0),$G192))</f>
        <v/>
      </c>
      <c r="J192" s="25">
        <f>IF($G192="","",IF(IFERROR(INDEX(Parámetros!$B$54:$B$60,MATCH($C192,Parámetros!$A$54:$A$60,0)),0)=1,ROUND($I192*Parámetros!$B$13,0),0))</f>
        <v/>
      </c>
      <c r="K192" s="25">
        <f>IF($G192="","",IF(IFERROR(INDEX(Parámetros!$C$54:$C$60,MATCH($C192,Parámetros!$A$54:$A$60,0)),0)=1,$J192,0))</f>
        <v/>
      </c>
      <c r="L192" s="25">
        <f>IF($G192="","",IF(IFERROR(INDEX(Parámetros!$D$54:$D$60,MATCH($C192,Parámetros!$A$54:$A$60,0)),0)=1,ROUND($I192*Parámetros!$B$16,0),0))</f>
        <v/>
      </c>
      <c r="M192" s="25">
        <f>IF($G192="","",$I192+$J192)</f>
        <v/>
      </c>
      <c r="N192" s="25">
        <f>IF($G192="","",$M192-$L192)</f>
        <v/>
      </c>
      <c r="O192" s="38" t="n"/>
      <c r="P192" s="38" t="n"/>
      <c r="Q192" s="37" t="n"/>
      <c r="R192" s="38" t="n"/>
      <c r="S192" s="40">
        <f>IF($A192="","",YEAR($A192))</f>
        <v/>
      </c>
      <c r="T192" s="40">
        <f>IF($A192="","",MONTH($A192))</f>
        <v/>
      </c>
      <c r="U192" s="40">
        <f>IF($Q192="","",YEAR($Q192))</f>
        <v/>
      </c>
      <c r="V192" s="40">
        <f>IF($Q192="","",MONTH($Q192))</f>
        <v/>
      </c>
    </row>
    <row r="193">
      <c r="A193" s="37" t="n"/>
      <c r="B193" s="38" t="n"/>
      <c r="C193" s="38" t="n"/>
      <c r="D193" s="38" t="n"/>
      <c r="E193" s="38" t="n"/>
      <c r="F193" s="38" t="n"/>
      <c r="G193" s="39" t="n"/>
      <c r="H193" s="38" t="n"/>
      <c r="I193" s="25">
        <f>IF($G193="","",IF(AND($H193="Sí",IFERROR(INDEX(Parámetros!$B$54:$B$60,MATCH($C193,Parámetros!$A$54:$A$60,0)),0)=1),ROUND($G193/(1+Parámetros!$B$13),0),$G193))</f>
        <v/>
      </c>
      <c r="J193" s="25">
        <f>IF($G193="","",IF(IFERROR(INDEX(Parámetros!$B$54:$B$60,MATCH($C193,Parámetros!$A$54:$A$60,0)),0)=1,ROUND($I193*Parámetros!$B$13,0),0))</f>
        <v/>
      </c>
      <c r="K193" s="25">
        <f>IF($G193="","",IF(IFERROR(INDEX(Parámetros!$C$54:$C$60,MATCH($C193,Parámetros!$A$54:$A$60,0)),0)=1,$J193,0))</f>
        <v/>
      </c>
      <c r="L193" s="25">
        <f>IF($G193="","",IF(IFERROR(INDEX(Parámetros!$D$54:$D$60,MATCH($C193,Parámetros!$A$54:$A$60,0)),0)=1,ROUND($I193*Parámetros!$B$16,0),0))</f>
        <v/>
      </c>
      <c r="M193" s="25">
        <f>IF($G193="","",$I193+$J193)</f>
        <v/>
      </c>
      <c r="N193" s="25">
        <f>IF($G193="","",$M193-$L193)</f>
        <v/>
      </c>
      <c r="O193" s="38" t="n"/>
      <c r="P193" s="38" t="n"/>
      <c r="Q193" s="37" t="n"/>
      <c r="R193" s="38" t="n"/>
      <c r="S193" s="40">
        <f>IF($A193="","",YEAR($A193))</f>
        <v/>
      </c>
      <c r="T193" s="40">
        <f>IF($A193="","",MONTH($A193))</f>
        <v/>
      </c>
      <c r="U193" s="40">
        <f>IF($Q193="","",YEAR($Q193))</f>
        <v/>
      </c>
      <c r="V193" s="40">
        <f>IF($Q193="","",MONTH($Q193))</f>
        <v/>
      </c>
    </row>
    <row r="194">
      <c r="A194" s="37" t="n"/>
      <c r="B194" s="38" t="n"/>
      <c r="C194" s="38" t="n"/>
      <c r="D194" s="38" t="n"/>
      <c r="E194" s="38" t="n"/>
      <c r="F194" s="38" t="n"/>
      <c r="G194" s="39" t="n"/>
      <c r="H194" s="38" t="n"/>
      <c r="I194" s="25">
        <f>IF($G194="","",IF(AND($H194="Sí",IFERROR(INDEX(Parámetros!$B$54:$B$60,MATCH($C194,Parámetros!$A$54:$A$60,0)),0)=1),ROUND($G194/(1+Parámetros!$B$13),0),$G194))</f>
        <v/>
      </c>
      <c r="J194" s="25">
        <f>IF($G194="","",IF(IFERROR(INDEX(Parámetros!$B$54:$B$60,MATCH($C194,Parámetros!$A$54:$A$60,0)),0)=1,ROUND($I194*Parámetros!$B$13,0),0))</f>
        <v/>
      </c>
      <c r="K194" s="25">
        <f>IF($G194="","",IF(IFERROR(INDEX(Parámetros!$C$54:$C$60,MATCH($C194,Parámetros!$A$54:$A$60,0)),0)=1,$J194,0))</f>
        <v/>
      </c>
      <c r="L194" s="25">
        <f>IF($G194="","",IF(IFERROR(INDEX(Parámetros!$D$54:$D$60,MATCH($C194,Parámetros!$A$54:$A$60,0)),0)=1,ROUND($I194*Parámetros!$B$16,0),0))</f>
        <v/>
      </c>
      <c r="M194" s="25">
        <f>IF($G194="","",$I194+$J194)</f>
        <v/>
      </c>
      <c r="N194" s="25">
        <f>IF($G194="","",$M194-$L194)</f>
        <v/>
      </c>
      <c r="O194" s="38" t="n"/>
      <c r="P194" s="38" t="n"/>
      <c r="Q194" s="37" t="n"/>
      <c r="R194" s="38" t="n"/>
      <c r="S194" s="40">
        <f>IF($A194="","",YEAR($A194))</f>
        <v/>
      </c>
      <c r="T194" s="40">
        <f>IF($A194="","",MONTH($A194))</f>
        <v/>
      </c>
      <c r="U194" s="40">
        <f>IF($Q194="","",YEAR($Q194))</f>
        <v/>
      </c>
      <c r="V194" s="40">
        <f>IF($Q194="","",MONTH($Q194))</f>
        <v/>
      </c>
    </row>
    <row r="195">
      <c r="A195" s="37" t="n"/>
      <c r="B195" s="38" t="n"/>
      <c r="C195" s="38" t="n"/>
      <c r="D195" s="38" t="n"/>
      <c r="E195" s="38" t="n"/>
      <c r="F195" s="38" t="n"/>
      <c r="G195" s="39" t="n"/>
      <c r="H195" s="38" t="n"/>
      <c r="I195" s="25">
        <f>IF($G195="","",IF(AND($H195="Sí",IFERROR(INDEX(Parámetros!$B$54:$B$60,MATCH($C195,Parámetros!$A$54:$A$60,0)),0)=1),ROUND($G195/(1+Parámetros!$B$13),0),$G195))</f>
        <v/>
      </c>
      <c r="J195" s="25">
        <f>IF($G195="","",IF(IFERROR(INDEX(Parámetros!$B$54:$B$60,MATCH($C195,Parámetros!$A$54:$A$60,0)),0)=1,ROUND($I195*Parámetros!$B$13,0),0))</f>
        <v/>
      </c>
      <c r="K195" s="25">
        <f>IF($G195="","",IF(IFERROR(INDEX(Parámetros!$C$54:$C$60,MATCH($C195,Parámetros!$A$54:$A$60,0)),0)=1,$J195,0))</f>
        <v/>
      </c>
      <c r="L195" s="25">
        <f>IF($G195="","",IF(IFERROR(INDEX(Parámetros!$D$54:$D$60,MATCH($C195,Parámetros!$A$54:$A$60,0)),0)=1,ROUND($I195*Parámetros!$B$16,0),0))</f>
        <v/>
      </c>
      <c r="M195" s="25">
        <f>IF($G195="","",$I195+$J195)</f>
        <v/>
      </c>
      <c r="N195" s="25">
        <f>IF($G195="","",$M195-$L195)</f>
        <v/>
      </c>
      <c r="O195" s="38" t="n"/>
      <c r="P195" s="38" t="n"/>
      <c r="Q195" s="37" t="n"/>
      <c r="R195" s="38" t="n"/>
      <c r="S195" s="40">
        <f>IF($A195="","",YEAR($A195))</f>
        <v/>
      </c>
      <c r="T195" s="40">
        <f>IF($A195="","",MONTH($A195))</f>
        <v/>
      </c>
      <c r="U195" s="40">
        <f>IF($Q195="","",YEAR($Q195))</f>
        <v/>
      </c>
      <c r="V195" s="40">
        <f>IF($Q195="","",MONTH($Q195))</f>
        <v/>
      </c>
    </row>
    <row r="196">
      <c r="A196" s="37" t="n"/>
      <c r="B196" s="38" t="n"/>
      <c r="C196" s="38" t="n"/>
      <c r="D196" s="38" t="n"/>
      <c r="E196" s="38" t="n"/>
      <c r="F196" s="38" t="n"/>
      <c r="G196" s="39" t="n"/>
      <c r="H196" s="38" t="n"/>
      <c r="I196" s="25">
        <f>IF($G196="","",IF(AND($H196="Sí",IFERROR(INDEX(Parámetros!$B$54:$B$60,MATCH($C196,Parámetros!$A$54:$A$60,0)),0)=1),ROUND($G196/(1+Parámetros!$B$13),0),$G196))</f>
        <v/>
      </c>
      <c r="J196" s="25">
        <f>IF($G196="","",IF(IFERROR(INDEX(Parámetros!$B$54:$B$60,MATCH($C196,Parámetros!$A$54:$A$60,0)),0)=1,ROUND($I196*Parámetros!$B$13,0),0))</f>
        <v/>
      </c>
      <c r="K196" s="25">
        <f>IF($G196="","",IF(IFERROR(INDEX(Parámetros!$C$54:$C$60,MATCH($C196,Parámetros!$A$54:$A$60,0)),0)=1,$J196,0))</f>
        <v/>
      </c>
      <c r="L196" s="25">
        <f>IF($G196="","",IF(IFERROR(INDEX(Parámetros!$D$54:$D$60,MATCH($C196,Parámetros!$A$54:$A$60,0)),0)=1,ROUND($I196*Parámetros!$B$16,0),0))</f>
        <v/>
      </c>
      <c r="M196" s="25">
        <f>IF($G196="","",$I196+$J196)</f>
        <v/>
      </c>
      <c r="N196" s="25">
        <f>IF($G196="","",$M196-$L196)</f>
        <v/>
      </c>
      <c r="O196" s="38" t="n"/>
      <c r="P196" s="38" t="n"/>
      <c r="Q196" s="37" t="n"/>
      <c r="R196" s="38" t="n"/>
      <c r="S196" s="40">
        <f>IF($A196="","",YEAR($A196))</f>
        <v/>
      </c>
      <c r="T196" s="40">
        <f>IF($A196="","",MONTH($A196))</f>
        <v/>
      </c>
      <c r="U196" s="40">
        <f>IF($Q196="","",YEAR($Q196))</f>
        <v/>
      </c>
      <c r="V196" s="40">
        <f>IF($Q196="","",MONTH($Q196))</f>
        <v/>
      </c>
    </row>
    <row r="197">
      <c r="A197" s="37" t="n"/>
      <c r="B197" s="38" t="n"/>
      <c r="C197" s="38" t="n"/>
      <c r="D197" s="38" t="n"/>
      <c r="E197" s="38" t="n"/>
      <c r="F197" s="38" t="n"/>
      <c r="G197" s="39" t="n"/>
      <c r="H197" s="38" t="n"/>
      <c r="I197" s="25">
        <f>IF($G197="","",IF(AND($H197="Sí",IFERROR(INDEX(Parámetros!$B$54:$B$60,MATCH($C197,Parámetros!$A$54:$A$60,0)),0)=1),ROUND($G197/(1+Parámetros!$B$13),0),$G197))</f>
        <v/>
      </c>
      <c r="J197" s="25">
        <f>IF($G197="","",IF(IFERROR(INDEX(Parámetros!$B$54:$B$60,MATCH($C197,Parámetros!$A$54:$A$60,0)),0)=1,ROUND($I197*Parámetros!$B$13,0),0))</f>
        <v/>
      </c>
      <c r="K197" s="25">
        <f>IF($G197="","",IF(IFERROR(INDEX(Parámetros!$C$54:$C$60,MATCH($C197,Parámetros!$A$54:$A$60,0)),0)=1,$J197,0))</f>
        <v/>
      </c>
      <c r="L197" s="25">
        <f>IF($G197="","",IF(IFERROR(INDEX(Parámetros!$D$54:$D$60,MATCH($C197,Parámetros!$A$54:$A$60,0)),0)=1,ROUND($I197*Parámetros!$B$16,0),0))</f>
        <v/>
      </c>
      <c r="M197" s="25">
        <f>IF($G197="","",$I197+$J197)</f>
        <v/>
      </c>
      <c r="N197" s="25">
        <f>IF($G197="","",$M197-$L197)</f>
        <v/>
      </c>
      <c r="O197" s="38" t="n"/>
      <c r="P197" s="38" t="n"/>
      <c r="Q197" s="37" t="n"/>
      <c r="R197" s="38" t="n"/>
      <c r="S197" s="40">
        <f>IF($A197="","",YEAR($A197))</f>
        <v/>
      </c>
      <c r="T197" s="40">
        <f>IF($A197="","",MONTH($A197))</f>
        <v/>
      </c>
      <c r="U197" s="40">
        <f>IF($Q197="","",YEAR($Q197))</f>
        <v/>
      </c>
      <c r="V197" s="40">
        <f>IF($Q197="","",MONTH($Q197))</f>
        <v/>
      </c>
    </row>
    <row r="198">
      <c r="A198" s="37" t="n"/>
      <c r="B198" s="38" t="n"/>
      <c r="C198" s="38" t="n"/>
      <c r="D198" s="38" t="n"/>
      <c r="E198" s="38" t="n"/>
      <c r="F198" s="38" t="n"/>
      <c r="G198" s="39" t="n"/>
      <c r="H198" s="38" t="n"/>
      <c r="I198" s="25">
        <f>IF($G198="","",IF(AND($H198="Sí",IFERROR(INDEX(Parámetros!$B$54:$B$60,MATCH($C198,Parámetros!$A$54:$A$60,0)),0)=1),ROUND($G198/(1+Parámetros!$B$13),0),$G198))</f>
        <v/>
      </c>
      <c r="J198" s="25">
        <f>IF($G198="","",IF(IFERROR(INDEX(Parámetros!$B$54:$B$60,MATCH($C198,Parámetros!$A$54:$A$60,0)),0)=1,ROUND($I198*Parámetros!$B$13,0),0))</f>
        <v/>
      </c>
      <c r="K198" s="25">
        <f>IF($G198="","",IF(IFERROR(INDEX(Parámetros!$C$54:$C$60,MATCH($C198,Parámetros!$A$54:$A$60,0)),0)=1,$J198,0))</f>
        <v/>
      </c>
      <c r="L198" s="25">
        <f>IF($G198="","",IF(IFERROR(INDEX(Parámetros!$D$54:$D$60,MATCH($C198,Parámetros!$A$54:$A$60,0)),0)=1,ROUND($I198*Parámetros!$B$16,0),0))</f>
        <v/>
      </c>
      <c r="M198" s="25">
        <f>IF($G198="","",$I198+$J198)</f>
        <v/>
      </c>
      <c r="N198" s="25">
        <f>IF($G198="","",$M198-$L198)</f>
        <v/>
      </c>
      <c r="O198" s="38" t="n"/>
      <c r="P198" s="38" t="n"/>
      <c r="Q198" s="37" t="n"/>
      <c r="R198" s="38" t="n"/>
      <c r="S198" s="40">
        <f>IF($A198="","",YEAR($A198))</f>
        <v/>
      </c>
      <c r="T198" s="40">
        <f>IF($A198="","",MONTH($A198))</f>
        <v/>
      </c>
      <c r="U198" s="40">
        <f>IF($Q198="","",YEAR($Q198))</f>
        <v/>
      </c>
      <c r="V198" s="40">
        <f>IF($Q198="","",MONTH($Q198))</f>
        <v/>
      </c>
    </row>
    <row r="199">
      <c r="A199" s="37" t="n"/>
      <c r="B199" s="38" t="n"/>
      <c r="C199" s="38" t="n"/>
      <c r="D199" s="38" t="n"/>
      <c r="E199" s="38" t="n"/>
      <c r="F199" s="38" t="n"/>
      <c r="G199" s="39" t="n"/>
      <c r="H199" s="38" t="n"/>
      <c r="I199" s="25">
        <f>IF($G199="","",IF(AND($H199="Sí",IFERROR(INDEX(Parámetros!$B$54:$B$60,MATCH($C199,Parámetros!$A$54:$A$60,0)),0)=1),ROUND($G199/(1+Parámetros!$B$13),0),$G199))</f>
        <v/>
      </c>
      <c r="J199" s="25">
        <f>IF($G199="","",IF(IFERROR(INDEX(Parámetros!$B$54:$B$60,MATCH($C199,Parámetros!$A$54:$A$60,0)),0)=1,ROUND($I199*Parámetros!$B$13,0),0))</f>
        <v/>
      </c>
      <c r="K199" s="25">
        <f>IF($G199="","",IF(IFERROR(INDEX(Parámetros!$C$54:$C$60,MATCH($C199,Parámetros!$A$54:$A$60,0)),0)=1,$J199,0))</f>
        <v/>
      </c>
      <c r="L199" s="25">
        <f>IF($G199="","",IF(IFERROR(INDEX(Parámetros!$D$54:$D$60,MATCH($C199,Parámetros!$A$54:$A$60,0)),0)=1,ROUND($I199*Parámetros!$B$16,0),0))</f>
        <v/>
      </c>
      <c r="M199" s="25">
        <f>IF($G199="","",$I199+$J199)</f>
        <v/>
      </c>
      <c r="N199" s="25">
        <f>IF($G199="","",$M199-$L199)</f>
        <v/>
      </c>
      <c r="O199" s="38" t="n"/>
      <c r="P199" s="38" t="n"/>
      <c r="Q199" s="37" t="n"/>
      <c r="R199" s="38" t="n"/>
      <c r="S199" s="40">
        <f>IF($A199="","",YEAR($A199))</f>
        <v/>
      </c>
      <c r="T199" s="40">
        <f>IF($A199="","",MONTH($A199))</f>
        <v/>
      </c>
      <c r="U199" s="40">
        <f>IF($Q199="","",YEAR($Q199))</f>
        <v/>
      </c>
      <c r="V199" s="40">
        <f>IF($Q199="","",MONTH($Q199))</f>
        <v/>
      </c>
    </row>
    <row r="200">
      <c r="A200" s="37" t="n"/>
      <c r="B200" s="38" t="n"/>
      <c r="C200" s="38" t="n"/>
      <c r="D200" s="38" t="n"/>
      <c r="E200" s="38" t="n"/>
      <c r="F200" s="38" t="n"/>
      <c r="G200" s="39" t="n"/>
      <c r="H200" s="38" t="n"/>
      <c r="I200" s="25">
        <f>IF($G200="","",IF(AND($H200="Sí",IFERROR(INDEX(Parámetros!$B$54:$B$60,MATCH($C200,Parámetros!$A$54:$A$60,0)),0)=1),ROUND($G200/(1+Parámetros!$B$13),0),$G200))</f>
        <v/>
      </c>
      <c r="J200" s="25">
        <f>IF($G200="","",IF(IFERROR(INDEX(Parámetros!$B$54:$B$60,MATCH($C200,Parámetros!$A$54:$A$60,0)),0)=1,ROUND($I200*Parámetros!$B$13,0),0))</f>
        <v/>
      </c>
      <c r="K200" s="25">
        <f>IF($G200="","",IF(IFERROR(INDEX(Parámetros!$C$54:$C$60,MATCH($C200,Parámetros!$A$54:$A$60,0)),0)=1,$J200,0))</f>
        <v/>
      </c>
      <c r="L200" s="25">
        <f>IF($G200="","",IF(IFERROR(INDEX(Parámetros!$D$54:$D$60,MATCH($C200,Parámetros!$A$54:$A$60,0)),0)=1,ROUND($I200*Parámetros!$B$16,0),0))</f>
        <v/>
      </c>
      <c r="M200" s="25">
        <f>IF($G200="","",$I200+$J200)</f>
        <v/>
      </c>
      <c r="N200" s="25">
        <f>IF($G200="","",$M200-$L200)</f>
        <v/>
      </c>
      <c r="O200" s="38" t="n"/>
      <c r="P200" s="38" t="n"/>
      <c r="Q200" s="37" t="n"/>
      <c r="R200" s="38" t="n"/>
      <c r="S200" s="40">
        <f>IF($A200="","",YEAR($A200))</f>
        <v/>
      </c>
      <c r="T200" s="40">
        <f>IF($A200="","",MONTH($A200))</f>
        <v/>
      </c>
      <c r="U200" s="40">
        <f>IF($Q200="","",YEAR($Q200))</f>
        <v/>
      </c>
      <c r="V200" s="40">
        <f>IF($Q200="","",MONTH($Q200))</f>
        <v/>
      </c>
    </row>
    <row r="201">
      <c r="A201" s="37" t="n"/>
      <c r="B201" s="38" t="n"/>
      <c r="C201" s="38" t="n"/>
      <c r="D201" s="38" t="n"/>
      <c r="E201" s="38" t="n"/>
      <c r="F201" s="38" t="n"/>
      <c r="G201" s="39" t="n"/>
      <c r="H201" s="38" t="n"/>
      <c r="I201" s="25">
        <f>IF($G201="","",IF(AND($H201="Sí",IFERROR(INDEX(Parámetros!$B$54:$B$60,MATCH($C201,Parámetros!$A$54:$A$60,0)),0)=1),ROUND($G201/(1+Parámetros!$B$13),0),$G201))</f>
        <v/>
      </c>
      <c r="J201" s="25">
        <f>IF($G201="","",IF(IFERROR(INDEX(Parámetros!$B$54:$B$60,MATCH($C201,Parámetros!$A$54:$A$60,0)),0)=1,ROUND($I201*Parámetros!$B$13,0),0))</f>
        <v/>
      </c>
      <c r="K201" s="25">
        <f>IF($G201="","",IF(IFERROR(INDEX(Parámetros!$C$54:$C$60,MATCH($C201,Parámetros!$A$54:$A$60,0)),0)=1,$J201,0))</f>
        <v/>
      </c>
      <c r="L201" s="25">
        <f>IF($G201="","",IF(IFERROR(INDEX(Parámetros!$D$54:$D$60,MATCH($C201,Parámetros!$A$54:$A$60,0)),0)=1,ROUND($I201*Parámetros!$B$16,0),0))</f>
        <v/>
      </c>
      <c r="M201" s="25">
        <f>IF($G201="","",$I201+$J201)</f>
        <v/>
      </c>
      <c r="N201" s="25">
        <f>IF($G201="","",$M201-$L201)</f>
        <v/>
      </c>
      <c r="O201" s="38" t="n"/>
      <c r="P201" s="38" t="n"/>
      <c r="Q201" s="37" t="n"/>
      <c r="R201" s="38" t="n"/>
      <c r="S201" s="40">
        <f>IF($A201="","",YEAR($A201))</f>
        <v/>
      </c>
      <c r="T201" s="40">
        <f>IF($A201="","",MONTH($A201))</f>
        <v/>
      </c>
      <c r="U201" s="40">
        <f>IF($Q201="","",YEAR($Q201))</f>
        <v/>
      </c>
      <c r="V201" s="40">
        <f>IF($Q201="","",MONTH($Q201))</f>
        <v/>
      </c>
    </row>
    <row r="202">
      <c r="A202" s="37" t="n"/>
      <c r="B202" s="38" t="n"/>
      <c r="C202" s="38" t="n"/>
      <c r="D202" s="38" t="n"/>
      <c r="E202" s="38" t="n"/>
      <c r="F202" s="38" t="n"/>
      <c r="G202" s="39" t="n"/>
      <c r="H202" s="38" t="n"/>
      <c r="I202" s="25">
        <f>IF($G202="","",IF(AND($H202="Sí",IFERROR(INDEX(Parámetros!$B$54:$B$60,MATCH($C202,Parámetros!$A$54:$A$60,0)),0)=1),ROUND($G202/(1+Parámetros!$B$13),0),$G202))</f>
        <v/>
      </c>
      <c r="J202" s="25">
        <f>IF($G202="","",IF(IFERROR(INDEX(Parámetros!$B$54:$B$60,MATCH($C202,Parámetros!$A$54:$A$60,0)),0)=1,ROUND($I202*Parámetros!$B$13,0),0))</f>
        <v/>
      </c>
      <c r="K202" s="25">
        <f>IF($G202="","",IF(IFERROR(INDEX(Parámetros!$C$54:$C$60,MATCH($C202,Parámetros!$A$54:$A$60,0)),0)=1,$J202,0))</f>
        <v/>
      </c>
      <c r="L202" s="25">
        <f>IF($G202="","",IF(IFERROR(INDEX(Parámetros!$D$54:$D$60,MATCH($C202,Parámetros!$A$54:$A$60,0)),0)=1,ROUND($I202*Parámetros!$B$16,0),0))</f>
        <v/>
      </c>
      <c r="M202" s="25">
        <f>IF($G202="","",$I202+$J202)</f>
        <v/>
      </c>
      <c r="N202" s="25">
        <f>IF($G202="","",$M202-$L202)</f>
        <v/>
      </c>
      <c r="O202" s="38" t="n"/>
      <c r="P202" s="38" t="n"/>
      <c r="Q202" s="37" t="n"/>
      <c r="R202" s="38" t="n"/>
      <c r="S202" s="40">
        <f>IF($A202="","",YEAR($A202))</f>
        <v/>
      </c>
      <c r="T202" s="40">
        <f>IF($A202="","",MONTH($A202))</f>
        <v/>
      </c>
      <c r="U202" s="40">
        <f>IF($Q202="","",YEAR($Q202))</f>
        <v/>
      </c>
      <c r="V202" s="40">
        <f>IF($Q202="","",MONTH($Q202))</f>
        <v/>
      </c>
    </row>
    <row r="203">
      <c r="A203" s="37" t="n"/>
      <c r="B203" s="38" t="n"/>
      <c r="C203" s="38" t="n"/>
      <c r="D203" s="38" t="n"/>
      <c r="E203" s="38" t="n"/>
      <c r="F203" s="38" t="n"/>
      <c r="G203" s="39" t="n"/>
      <c r="H203" s="38" t="n"/>
      <c r="I203" s="25">
        <f>IF($G203="","",IF(AND($H203="Sí",IFERROR(INDEX(Parámetros!$B$54:$B$60,MATCH($C203,Parámetros!$A$54:$A$60,0)),0)=1),ROUND($G203/(1+Parámetros!$B$13),0),$G203))</f>
        <v/>
      </c>
      <c r="J203" s="25">
        <f>IF($G203="","",IF(IFERROR(INDEX(Parámetros!$B$54:$B$60,MATCH($C203,Parámetros!$A$54:$A$60,0)),0)=1,ROUND($I203*Parámetros!$B$13,0),0))</f>
        <v/>
      </c>
      <c r="K203" s="25">
        <f>IF($G203="","",IF(IFERROR(INDEX(Parámetros!$C$54:$C$60,MATCH($C203,Parámetros!$A$54:$A$60,0)),0)=1,$J203,0))</f>
        <v/>
      </c>
      <c r="L203" s="25">
        <f>IF($G203="","",IF(IFERROR(INDEX(Parámetros!$D$54:$D$60,MATCH($C203,Parámetros!$A$54:$A$60,0)),0)=1,ROUND($I203*Parámetros!$B$16,0),0))</f>
        <v/>
      </c>
      <c r="M203" s="25">
        <f>IF($G203="","",$I203+$J203)</f>
        <v/>
      </c>
      <c r="N203" s="25">
        <f>IF($G203="","",$M203-$L203)</f>
        <v/>
      </c>
      <c r="O203" s="38" t="n"/>
      <c r="P203" s="38" t="n"/>
      <c r="Q203" s="37" t="n"/>
      <c r="R203" s="38" t="n"/>
      <c r="S203" s="40">
        <f>IF($A203="","",YEAR($A203))</f>
        <v/>
      </c>
      <c r="T203" s="40">
        <f>IF($A203="","",MONTH($A203))</f>
        <v/>
      </c>
      <c r="U203" s="40">
        <f>IF($Q203="","",YEAR($Q203))</f>
        <v/>
      </c>
      <c r="V203" s="40">
        <f>IF($Q203="","",MONTH($Q203))</f>
        <v/>
      </c>
    </row>
    <row r="204">
      <c r="A204" s="37" t="n"/>
      <c r="B204" s="38" t="n"/>
      <c r="C204" s="38" t="n"/>
      <c r="D204" s="38" t="n"/>
      <c r="E204" s="38" t="n"/>
      <c r="F204" s="38" t="n"/>
      <c r="G204" s="39" t="n"/>
      <c r="H204" s="38" t="n"/>
      <c r="I204" s="25">
        <f>IF($G204="","",IF(AND($H204="Sí",IFERROR(INDEX(Parámetros!$B$54:$B$60,MATCH($C204,Parámetros!$A$54:$A$60,0)),0)=1),ROUND($G204/(1+Parámetros!$B$13),0),$G204))</f>
        <v/>
      </c>
      <c r="J204" s="25">
        <f>IF($G204="","",IF(IFERROR(INDEX(Parámetros!$B$54:$B$60,MATCH($C204,Parámetros!$A$54:$A$60,0)),0)=1,ROUND($I204*Parámetros!$B$13,0),0))</f>
        <v/>
      </c>
      <c r="K204" s="25">
        <f>IF($G204="","",IF(IFERROR(INDEX(Parámetros!$C$54:$C$60,MATCH($C204,Parámetros!$A$54:$A$60,0)),0)=1,$J204,0))</f>
        <v/>
      </c>
      <c r="L204" s="25">
        <f>IF($G204="","",IF(IFERROR(INDEX(Parámetros!$D$54:$D$60,MATCH($C204,Parámetros!$A$54:$A$60,0)),0)=1,ROUND($I204*Parámetros!$B$16,0),0))</f>
        <v/>
      </c>
      <c r="M204" s="25">
        <f>IF($G204="","",$I204+$J204)</f>
        <v/>
      </c>
      <c r="N204" s="25">
        <f>IF($G204="","",$M204-$L204)</f>
        <v/>
      </c>
      <c r="O204" s="38" t="n"/>
      <c r="P204" s="38" t="n"/>
      <c r="Q204" s="37" t="n"/>
      <c r="R204" s="38" t="n"/>
      <c r="S204" s="40">
        <f>IF($A204="","",YEAR($A204))</f>
        <v/>
      </c>
      <c r="T204" s="40">
        <f>IF($A204="","",MONTH($A204))</f>
        <v/>
      </c>
      <c r="U204" s="40">
        <f>IF($Q204="","",YEAR($Q204))</f>
        <v/>
      </c>
      <c r="V204" s="40">
        <f>IF($Q204="","",MONTH($Q204))</f>
        <v/>
      </c>
    </row>
    <row r="205">
      <c r="A205" s="37" t="n"/>
      <c r="B205" s="38" t="n"/>
      <c r="C205" s="38" t="n"/>
      <c r="D205" s="38" t="n"/>
      <c r="E205" s="38" t="n"/>
      <c r="F205" s="38" t="n"/>
      <c r="G205" s="39" t="n"/>
      <c r="H205" s="38" t="n"/>
      <c r="I205" s="25">
        <f>IF($G205="","",IF(AND($H205="Sí",IFERROR(INDEX(Parámetros!$B$54:$B$60,MATCH($C205,Parámetros!$A$54:$A$60,0)),0)=1),ROUND($G205/(1+Parámetros!$B$13),0),$G205))</f>
        <v/>
      </c>
      <c r="J205" s="25">
        <f>IF($G205="","",IF(IFERROR(INDEX(Parámetros!$B$54:$B$60,MATCH($C205,Parámetros!$A$54:$A$60,0)),0)=1,ROUND($I205*Parámetros!$B$13,0),0))</f>
        <v/>
      </c>
      <c r="K205" s="25">
        <f>IF($G205="","",IF(IFERROR(INDEX(Parámetros!$C$54:$C$60,MATCH($C205,Parámetros!$A$54:$A$60,0)),0)=1,$J205,0))</f>
        <v/>
      </c>
      <c r="L205" s="25">
        <f>IF($G205="","",IF(IFERROR(INDEX(Parámetros!$D$54:$D$60,MATCH($C205,Parámetros!$A$54:$A$60,0)),0)=1,ROUND($I205*Parámetros!$B$16,0),0))</f>
        <v/>
      </c>
      <c r="M205" s="25">
        <f>IF($G205="","",$I205+$J205)</f>
        <v/>
      </c>
      <c r="N205" s="25">
        <f>IF($G205="","",$M205-$L205)</f>
        <v/>
      </c>
      <c r="O205" s="38" t="n"/>
      <c r="P205" s="38" t="n"/>
      <c r="Q205" s="37" t="n"/>
      <c r="R205" s="38" t="n"/>
      <c r="S205" s="40">
        <f>IF($A205="","",YEAR($A205))</f>
        <v/>
      </c>
      <c r="T205" s="40">
        <f>IF($A205="","",MONTH($A205))</f>
        <v/>
      </c>
      <c r="U205" s="40">
        <f>IF($Q205="","",YEAR($Q205))</f>
        <v/>
      </c>
      <c r="V205" s="40">
        <f>IF($Q205="","",MONTH($Q205))</f>
        <v/>
      </c>
    </row>
    <row r="206">
      <c r="A206" s="37" t="n"/>
      <c r="B206" s="38" t="n"/>
      <c r="C206" s="38" t="n"/>
      <c r="D206" s="38" t="n"/>
      <c r="E206" s="38" t="n"/>
      <c r="F206" s="38" t="n"/>
      <c r="G206" s="39" t="n"/>
      <c r="H206" s="38" t="n"/>
      <c r="I206" s="25">
        <f>IF($G206="","",IF(AND($H206="Sí",IFERROR(INDEX(Parámetros!$B$54:$B$60,MATCH($C206,Parámetros!$A$54:$A$60,0)),0)=1),ROUND($G206/(1+Parámetros!$B$13),0),$G206))</f>
        <v/>
      </c>
      <c r="J206" s="25">
        <f>IF($G206="","",IF(IFERROR(INDEX(Parámetros!$B$54:$B$60,MATCH($C206,Parámetros!$A$54:$A$60,0)),0)=1,ROUND($I206*Parámetros!$B$13,0),0))</f>
        <v/>
      </c>
      <c r="K206" s="25">
        <f>IF($G206="","",IF(IFERROR(INDEX(Parámetros!$C$54:$C$60,MATCH($C206,Parámetros!$A$54:$A$60,0)),0)=1,$J206,0))</f>
        <v/>
      </c>
      <c r="L206" s="25">
        <f>IF($G206="","",IF(IFERROR(INDEX(Parámetros!$D$54:$D$60,MATCH($C206,Parámetros!$A$54:$A$60,0)),0)=1,ROUND($I206*Parámetros!$B$16,0),0))</f>
        <v/>
      </c>
      <c r="M206" s="25">
        <f>IF($G206="","",$I206+$J206)</f>
        <v/>
      </c>
      <c r="N206" s="25">
        <f>IF($G206="","",$M206-$L206)</f>
        <v/>
      </c>
      <c r="O206" s="38" t="n"/>
      <c r="P206" s="38" t="n"/>
      <c r="Q206" s="37" t="n"/>
      <c r="R206" s="38" t="n"/>
      <c r="S206" s="40">
        <f>IF($A206="","",YEAR($A206))</f>
        <v/>
      </c>
      <c r="T206" s="40">
        <f>IF($A206="","",MONTH($A206))</f>
        <v/>
      </c>
      <c r="U206" s="40">
        <f>IF($Q206="","",YEAR($Q206))</f>
        <v/>
      </c>
      <c r="V206" s="40">
        <f>IF($Q206="","",MONTH($Q206))</f>
        <v/>
      </c>
    </row>
    <row r="207">
      <c r="A207" s="37" t="n"/>
      <c r="B207" s="38" t="n"/>
      <c r="C207" s="38" t="n"/>
      <c r="D207" s="38" t="n"/>
      <c r="E207" s="38" t="n"/>
      <c r="F207" s="38" t="n"/>
      <c r="G207" s="39" t="n"/>
      <c r="H207" s="38" t="n"/>
      <c r="I207" s="25">
        <f>IF($G207="","",IF(AND($H207="Sí",IFERROR(INDEX(Parámetros!$B$54:$B$60,MATCH($C207,Parámetros!$A$54:$A$60,0)),0)=1),ROUND($G207/(1+Parámetros!$B$13),0),$G207))</f>
        <v/>
      </c>
      <c r="J207" s="25">
        <f>IF($G207="","",IF(IFERROR(INDEX(Parámetros!$B$54:$B$60,MATCH($C207,Parámetros!$A$54:$A$60,0)),0)=1,ROUND($I207*Parámetros!$B$13,0),0))</f>
        <v/>
      </c>
      <c r="K207" s="25">
        <f>IF($G207="","",IF(IFERROR(INDEX(Parámetros!$C$54:$C$60,MATCH($C207,Parámetros!$A$54:$A$60,0)),0)=1,$J207,0))</f>
        <v/>
      </c>
      <c r="L207" s="25">
        <f>IF($G207="","",IF(IFERROR(INDEX(Parámetros!$D$54:$D$60,MATCH($C207,Parámetros!$A$54:$A$60,0)),0)=1,ROUND($I207*Parámetros!$B$16,0),0))</f>
        <v/>
      </c>
      <c r="M207" s="25">
        <f>IF($G207="","",$I207+$J207)</f>
        <v/>
      </c>
      <c r="N207" s="25">
        <f>IF($G207="","",$M207-$L207)</f>
        <v/>
      </c>
      <c r="O207" s="38" t="n"/>
      <c r="P207" s="38" t="n"/>
      <c r="Q207" s="37" t="n"/>
      <c r="R207" s="38" t="n"/>
      <c r="S207" s="40">
        <f>IF($A207="","",YEAR($A207))</f>
        <v/>
      </c>
      <c r="T207" s="40">
        <f>IF($A207="","",MONTH($A207))</f>
        <v/>
      </c>
      <c r="U207" s="40">
        <f>IF($Q207="","",YEAR($Q207))</f>
        <v/>
      </c>
      <c r="V207" s="40">
        <f>IF($Q207="","",MONTH($Q207))</f>
        <v/>
      </c>
    </row>
    <row r="208">
      <c r="A208" s="37" t="n"/>
      <c r="B208" s="38" t="n"/>
      <c r="C208" s="38" t="n"/>
      <c r="D208" s="38" t="n"/>
      <c r="E208" s="38" t="n"/>
      <c r="F208" s="38" t="n"/>
      <c r="G208" s="39" t="n"/>
      <c r="H208" s="38" t="n"/>
      <c r="I208" s="25">
        <f>IF($G208="","",IF(AND($H208="Sí",IFERROR(INDEX(Parámetros!$B$54:$B$60,MATCH($C208,Parámetros!$A$54:$A$60,0)),0)=1),ROUND($G208/(1+Parámetros!$B$13),0),$G208))</f>
        <v/>
      </c>
      <c r="J208" s="25">
        <f>IF($G208="","",IF(IFERROR(INDEX(Parámetros!$B$54:$B$60,MATCH($C208,Parámetros!$A$54:$A$60,0)),0)=1,ROUND($I208*Parámetros!$B$13,0),0))</f>
        <v/>
      </c>
      <c r="K208" s="25">
        <f>IF($G208="","",IF(IFERROR(INDEX(Parámetros!$C$54:$C$60,MATCH($C208,Parámetros!$A$54:$A$60,0)),0)=1,$J208,0))</f>
        <v/>
      </c>
      <c r="L208" s="25">
        <f>IF($G208="","",IF(IFERROR(INDEX(Parámetros!$D$54:$D$60,MATCH($C208,Parámetros!$A$54:$A$60,0)),0)=1,ROUND($I208*Parámetros!$B$16,0),0))</f>
        <v/>
      </c>
      <c r="M208" s="25">
        <f>IF($G208="","",$I208+$J208)</f>
        <v/>
      </c>
      <c r="N208" s="25">
        <f>IF($G208="","",$M208-$L208)</f>
        <v/>
      </c>
      <c r="O208" s="38" t="n"/>
      <c r="P208" s="38" t="n"/>
      <c r="Q208" s="37" t="n"/>
      <c r="R208" s="38" t="n"/>
      <c r="S208" s="40">
        <f>IF($A208="","",YEAR($A208))</f>
        <v/>
      </c>
      <c r="T208" s="40">
        <f>IF($A208="","",MONTH($A208))</f>
        <v/>
      </c>
      <c r="U208" s="40">
        <f>IF($Q208="","",YEAR($Q208))</f>
        <v/>
      </c>
      <c r="V208" s="40">
        <f>IF($Q208="","",MONTH($Q208))</f>
        <v/>
      </c>
    </row>
    <row r="209">
      <c r="A209" s="37" t="n"/>
      <c r="B209" s="38" t="n"/>
      <c r="C209" s="38" t="n"/>
      <c r="D209" s="38" t="n"/>
      <c r="E209" s="38" t="n"/>
      <c r="F209" s="38" t="n"/>
      <c r="G209" s="39" t="n"/>
      <c r="H209" s="38" t="n"/>
      <c r="I209" s="25">
        <f>IF($G209="","",IF(AND($H209="Sí",IFERROR(INDEX(Parámetros!$B$54:$B$60,MATCH($C209,Parámetros!$A$54:$A$60,0)),0)=1),ROUND($G209/(1+Parámetros!$B$13),0),$G209))</f>
        <v/>
      </c>
      <c r="J209" s="25">
        <f>IF($G209="","",IF(IFERROR(INDEX(Parámetros!$B$54:$B$60,MATCH($C209,Parámetros!$A$54:$A$60,0)),0)=1,ROUND($I209*Parámetros!$B$13,0),0))</f>
        <v/>
      </c>
      <c r="K209" s="25">
        <f>IF($G209="","",IF(IFERROR(INDEX(Parámetros!$C$54:$C$60,MATCH($C209,Parámetros!$A$54:$A$60,0)),0)=1,$J209,0))</f>
        <v/>
      </c>
      <c r="L209" s="25">
        <f>IF($G209="","",IF(IFERROR(INDEX(Parámetros!$D$54:$D$60,MATCH($C209,Parámetros!$A$54:$A$60,0)),0)=1,ROUND($I209*Parámetros!$B$16,0),0))</f>
        <v/>
      </c>
      <c r="M209" s="25">
        <f>IF($G209="","",$I209+$J209)</f>
        <v/>
      </c>
      <c r="N209" s="25">
        <f>IF($G209="","",$M209-$L209)</f>
        <v/>
      </c>
      <c r="O209" s="38" t="n"/>
      <c r="P209" s="38" t="n"/>
      <c r="Q209" s="37" t="n"/>
      <c r="R209" s="38" t="n"/>
      <c r="S209" s="40">
        <f>IF($A209="","",YEAR($A209))</f>
        <v/>
      </c>
      <c r="T209" s="40">
        <f>IF($A209="","",MONTH($A209))</f>
        <v/>
      </c>
      <c r="U209" s="40">
        <f>IF($Q209="","",YEAR($Q209))</f>
        <v/>
      </c>
      <c r="V209" s="40">
        <f>IF($Q209="","",MONTH($Q209))</f>
        <v/>
      </c>
    </row>
    <row r="210">
      <c r="A210" s="37" t="n"/>
      <c r="B210" s="38" t="n"/>
      <c r="C210" s="38" t="n"/>
      <c r="D210" s="38" t="n"/>
      <c r="E210" s="38" t="n"/>
      <c r="F210" s="38" t="n"/>
      <c r="G210" s="39" t="n"/>
      <c r="H210" s="38" t="n"/>
      <c r="I210" s="25">
        <f>IF($G210="","",IF(AND($H210="Sí",IFERROR(INDEX(Parámetros!$B$54:$B$60,MATCH($C210,Parámetros!$A$54:$A$60,0)),0)=1),ROUND($G210/(1+Parámetros!$B$13),0),$G210))</f>
        <v/>
      </c>
      <c r="J210" s="25">
        <f>IF($G210="","",IF(IFERROR(INDEX(Parámetros!$B$54:$B$60,MATCH($C210,Parámetros!$A$54:$A$60,0)),0)=1,ROUND($I210*Parámetros!$B$13,0),0))</f>
        <v/>
      </c>
      <c r="K210" s="25">
        <f>IF($G210="","",IF(IFERROR(INDEX(Parámetros!$C$54:$C$60,MATCH($C210,Parámetros!$A$54:$A$60,0)),0)=1,$J210,0))</f>
        <v/>
      </c>
      <c r="L210" s="25">
        <f>IF($G210="","",IF(IFERROR(INDEX(Parámetros!$D$54:$D$60,MATCH($C210,Parámetros!$A$54:$A$60,0)),0)=1,ROUND($I210*Parámetros!$B$16,0),0))</f>
        <v/>
      </c>
      <c r="M210" s="25">
        <f>IF($G210="","",$I210+$J210)</f>
        <v/>
      </c>
      <c r="N210" s="25">
        <f>IF($G210="","",$M210-$L210)</f>
        <v/>
      </c>
      <c r="O210" s="38" t="n"/>
      <c r="P210" s="38" t="n"/>
      <c r="Q210" s="37" t="n"/>
      <c r="R210" s="38" t="n"/>
      <c r="S210" s="40">
        <f>IF($A210="","",YEAR($A210))</f>
        <v/>
      </c>
      <c r="T210" s="40">
        <f>IF($A210="","",MONTH($A210))</f>
        <v/>
      </c>
      <c r="U210" s="40">
        <f>IF($Q210="","",YEAR($Q210))</f>
        <v/>
      </c>
      <c r="V210" s="40">
        <f>IF($Q210="","",MONTH($Q210))</f>
        <v/>
      </c>
    </row>
    <row r="211">
      <c r="A211" s="37" t="n"/>
      <c r="B211" s="38" t="n"/>
      <c r="C211" s="38" t="n"/>
      <c r="D211" s="38" t="n"/>
      <c r="E211" s="38" t="n"/>
      <c r="F211" s="38" t="n"/>
      <c r="G211" s="39" t="n"/>
      <c r="H211" s="38" t="n"/>
      <c r="I211" s="25">
        <f>IF($G211="","",IF(AND($H211="Sí",IFERROR(INDEX(Parámetros!$B$54:$B$60,MATCH($C211,Parámetros!$A$54:$A$60,0)),0)=1),ROUND($G211/(1+Parámetros!$B$13),0),$G211))</f>
        <v/>
      </c>
      <c r="J211" s="25">
        <f>IF($G211="","",IF(IFERROR(INDEX(Parámetros!$B$54:$B$60,MATCH($C211,Parámetros!$A$54:$A$60,0)),0)=1,ROUND($I211*Parámetros!$B$13,0),0))</f>
        <v/>
      </c>
      <c r="K211" s="25">
        <f>IF($G211="","",IF(IFERROR(INDEX(Parámetros!$C$54:$C$60,MATCH($C211,Parámetros!$A$54:$A$60,0)),0)=1,$J211,0))</f>
        <v/>
      </c>
      <c r="L211" s="25">
        <f>IF($G211="","",IF(IFERROR(INDEX(Parámetros!$D$54:$D$60,MATCH($C211,Parámetros!$A$54:$A$60,0)),0)=1,ROUND($I211*Parámetros!$B$16,0),0))</f>
        <v/>
      </c>
      <c r="M211" s="25">
        <f>IF($G211="","",$I211+$J211)</f>
        <v/>
      </c>
      <c r="N211" s="25">
        <f>IF($G211="","",$M211-$L211)</f>
        <v/>
      </c>
      <c r="O211" s="38" t="n"/>
      <c r="P211" s="38" t="n"/>
      <c r="Q211" s="37" t="n"/>
      <c r="R211" s="38" t="n"/>
      <c r="S211" s="40">
        <f>IF($A211="","",YEAR($A211))</f>
        <v/>
      </c>
      <c r="T211" s="40">
        <f>IF($A211="","",MONTH($A211))</f>
        <v/>
      </c>
      <c r="U211" s="40">
        <f>IF($Q211="","",YEAR($Q211))</f>
        <v/>
      </c>
      <c r="V211" s="40">
        <f>IF($Q211="","",MONTH($Q211))</f>
        <v/>
      </c>
    </row>
    <row r="212">
      <c r="A212" s="37" t="n"/>
      <c r="B212" s="38" t="n"/>
      <c r="C212" s="38" t="n"/>
      <c r="D212" s="38" t="n"/>
      <c r="E212" s="38" t="n"/>
      <c r="F212" s="38" t="n"/>
      <c r="G212" s="39" t="n"/>
      <c r="H212" s="38" t="n"/>
      <c r="I212" s="25">
        <f>IF($G212="","",IF(AND($H212="Sí",IFERROR(INDEX(Parámetros!$B$54:$B$60,MATCH($C212,Parámetros!$A$54:$A$60,0)),0)=1),ROUND($G212/(1+Parámetros!$B$13),0),$G212))</f>
        <v/>
      </c>
      <c r="J212" s="25">
        <f>IF($G212="","",IF(IFERROR(INDEX(Parámetros!$B$54:$B$60,MATCH($C212,Parámetros!$A$54:$A$60,0)),0)=1,ROUND($I212*Parámetros!$B$13,0),0))</f>
        <v/>
      </c>
      <c r="K212" s="25">
        <f>IF($G212="","",IF(IFERROR(INDEX(Parámetros!$C$54:$C$60,MATCH($C212,Parámetros!$A$54:$A$60,0)),0)=1,$J212,0))</f>
        <v/>
      </c>
      <c r="L212" s="25">
        <f>IF($G212="","",IF(IFERROR(INDEX(Parámetros!$D$54:$D$60,MATCH($C212,Parámetros!$A$54:$A$60,0)),0)=1,ROUND($I212*Parámetros!$B$16,0),0))</f>
        <v/>
      </c>
      <c r="M212" s="25">
        <f>IF($G212="","",$I212+$J212)</f>
        <v/>
      </c>
      <c r="N212" s="25">
        <f>IF($G212="","",$M212-$L212)</f>
        <v/>
      </c>
      <c r="O212" s="38" t="n"/>
      <c r="P212" s="38" t="n"/>
      <c r="Q212" s="37" t="n"/>
      <c r="R212" s="38" t="n"/>
      <c r="S212" s="40">
        <f>IF($A212="","",YEAR($A212))</f>
        <v/>
      </c>
      <c r="T212" s="40">
        <f>IF($A212="","",MONTH($A212))</f>
        <v/>
      </c>
      <c r="U212" s="40">
        <f>IF($Q212="","",YEAR($Q212))</f>
        <v/>
      </c>
      <c r="V212" s="40">
        <f>IF($Q212="","",MONTH($Q212))</f>
        <v/>
      </c>
    </row>
    <row r="213">
      <c r="A213" s="37" t="n"/>
      <c r="B213" s="38" t="n"/>
      <c r="C213" s="38" t="n"/>
      <c r="D213" s="38" t="n"/>
      <c r="E213" s="38" t="n"/>
      <c r="F213" s="38" t="n"/>
      <c r="G213" s="39" t="n"/>
      <c r="H213" s="38" t="n"/>
      <c r="I213" s="25">
        <f>IF($G213="","",IF(AND($H213="Sí",IFERROR(INDEX(Parámetros!$B$54:$B$60,MATCH($C213,Parámetros!$A$54:$A$60,0)),0)=1),ROUND($G213/(1+Parámetros!$B$13),0),$G213))</f>
        <v/>
      </c>
      <c r="J213" s="25">
        <f>IF($G213="","",IF(IFERROR(INDEX(Parámetros!$B$54:$B$60,MATCH($C213,Parámetros!$A$54:$A$60,0)),0)=1,ROUND($I213*Parámetros!$B$13,0),0))</f>
        <v/>
      </c>
      <c r="K213" s="25">
        <f>IF($G213="","",IF(IFERROR(INDEX(Parámetros!$C$54:$C$60,MATCH($C213,Parámetros!$A$54:$A$60,0)),0)=1,$J213,0))</f>
        <v/>
      </c>
      <c r="L213" s="25">
        <f>IF($G213="","",IF(IFERROR(INDEX(Parámetros!$D$54:$D$60,MATCH($C213,Parámetros!$A$54:$A$60,0)),0)=1,ROUND($I213*Parámetros!$B$16,0),0))</f>
        <v/>
      </c>
      <c r="M213" s="25">
        <f>IF($G213="","",$I213+$J213)</f>
        <v/>
      </c>
      <c r="N213" s="25">
        <f>IF($G213="","",$M213-$L213)</f>
        <v/>
      </c>
      <c r="O213" s="38" t="n"/>
      <c r="P213" s="38" t="n"/>
      <c r="Q213" s="37" t="n"/>
      <c r="R213" s="38" t="n"/>
      <c r="S213" s="40">
        <f>IF($A213="","",YEAR($A213))</f>
        <v/>
      </c>
      <c r="T213" s="40">
        <f>IF($A213="","",MONTH($A213))</f>
        <v/>
      </c>
      <c r="U213" s="40">
        <f>IF($Q213="","",YEAR($Q213))</f>
        <v/>
      </c>
      <c r="V213" s="40">
        <f>IF($Q213="","",MONTH($Q213))</f>
        <v/>
      </c>
    </row>
    <row r="214">
      <c r="A214" s="37" t="n"/>
      <c r="B214" s="38" t="n"/>
      <c r="C214" s="38" t="n"/>
      <c r="D214" s="38" t="n"/>
      <c r="E214" s="38" t="n"/>
      <c r="F214" s="38" t="n"/>
      <c r="G214" s="39" t="n"/>
      <c r="H214" s="38" t="n"/>
      <c r="I214" s="25">
        <f>IF($G214="","",IF(AND($H214="Sí",IFERROR(INDEX(Parámetros!$B$54:$B$60,MATCH($C214,Parámetros!$A$54:$A$60,0)),0)=1),ROUND($G214/(1+Parámetros!$B$13),0),$G214))</f>
        <v/>
      </c>
      <c r="J214" s="25">
        <f>IF($G214="","",IF(IFERROR(INDEX(Parámetros!$B$54:$B$60,MATCH($C214,Parámetros!$A$54:$A$60,0)),0)=1,ROUND($I214*Parámetros!$B$13,0),0))</f>
        <v/>
      </c>
      <c r="K214" s="25">
        <f>IF($G214="","",IF(IFERROR(INDEX(Parámetros!$C$54:$C$60,MATCH($C214,Parámetros!$A$54:$A$60,0)),0)=1,$J214,0))</f>
        <v/>
      </c>
      <c r="L214" s="25">
        <f>IF($G214="","",IF(IFERROR(INDEX(Parámetros!$D$54:$D$60,MATCH($C214,Parámetros!$A$54:$A$60,0)),0)=1,ROUND($I214*Parámetros!$B$16,0),0))</f>
        <v/>
      </c>
      <c r="M214" s="25">
        <f>IF($G214="","",$I214+$J214)</f>
        <v/>
      </c>
      <c r="N214" s="25">
        <f>IF($G214="","",$M214-$L214)</f>
        <v/>
      </c>
      <c r="O214" s="38" t="n"/>
      <c r="P214" s="38" t="n"/>
      <c r="Q214" s="37" t="n"/>
      <c r="R214" s="38" t="n"/>
      <c r="S214" s="40">
        <f>IF($A214="","",YEAR($A214))</f>
        <v/>
      </c>
      <c r="T214" s="40">
        <f>IF($A214="","",MONTH($A214))</f>
        <v/>
      </c>
      <c r="U214" s="40">
        <f>IF($Q214="","",YEAR($Q214))</f>
        <v/>
      </c>
      <c r="V214" s="40">
        <f>IF($Q214="","",MONTH($Q214))</f>
        <v/>
      </c>
    </row>
    <row r="215">
      <c r="A215" s="37" t="n"/>
      <c r="B215" s="38" t="n"/>
      <c r="C215" s="38" t="n"/>
      <c r="D215" s="38" t="n"/>
      <c r="E215" s="38" t="n"/>
      <c r="F215" s="38" t="n"/>
      <c r="G215" s="39" t="n"/>
      <c r="H215" s="38" t="n"/>
      <c r="I215" s="25">
        <f>IF($G215="","",IF(AND($H215="Sí",IFERROR(INDEX(Parámetros!$B$54:$B$60,MATCH($C215,Parámetros!$A$54:$A$60,0)),0)=1),ROUND($G215/(1+Parámetros!$B$13),0),$G215))</f>
        <v/>
      </c>
      <c r="J215" s="25">
        <f>IF($G215="","",IF(IFERROR(INDEX(Parámetros!$B$54:$B$60,MATCH($C215,Parámetros!$A$54:$A$60,0)),0)=1,ROUND($I215*Parámetros!$B$13,0),0))</f>
        <v/>
      </c>
      <c r="K215" s="25">
        <f>IF($G215="","",IF(IFERROR(INDEX(Parámetros!$C$54:$C$60,MATCH($C215,Parámetros!$A$54:$A$60,0)),0)=1,$J215,0))</f>
        <v/>
      </c>
      <c r="L215" s="25">
        <f>IF($G215="","",IF(IFERROR(INDEX(Parámetros!$D$54:$D$60,MATCH($C215,Parámetros!$A$54:$A$60,0)),0)=1,ROUND($I215*Parámetros!$B$16,0),0))</f>
        <v/>
      </c>
      <c r="M215" s="25">
        <f>IF($G215="","",$I215+$J215)</f>
        <v/>
      </c>
      <c r="N215" s="25">
        <f>IF($G215="","",$M215-$L215)</f>
        <v/>
      </c>
      <c r="O215" s="38" t="n"/>
      <c r="P215" s="38" t="n"/>
      <c r="Q215" s="37" t="n"/>
      <c r="R215" s="38" t="n"/>
      <c r="S215" s="40">
        <f>IF($A215="","",YEAR($A215))</f>
        <v/>
      </c>
      <c r="T215" s="40">
        <f>IF($A215="","",MONTH($A215))</f>
        <v/>
      </c>
      <c r="U215" s="40">
        <f>IF($Q215="","",YEAR($Q215))</f>
        <v/>
      </c>
      <c r="V215" s="40">
        <f>IF($Q215="","",MONTH($Q215))</f>
        <v/>
      </c>
    </row>
    <row r="216">
      <c r="A216" s="37" t="n"/>
      <c r="B216" s="38" t="n"/>
      <c r="C216" s="38" t="n"/>
      <c r="D216" s="38" t="n"/>
      <c r="E216" s="38" t="n"/>
      <c r="F216" s="38" t="n"/>
      <c r="G216" s="39" t="n"/>
      <c r="H216" s="38" t="n"/>
      <c r="I216" s="25">
        <f>IF($G216="","",IF(AND($H216="Sí",IFERROR(INDEX(Parámetros!$B$54:$B$60,MATCH($C216,Parámetros!$A$54:$A$60,0)),0)=1),ROUND($G216/(1+Parámetros!$B$13),0),$G216))</f>
        <v/>
      </c>
      <c r="J216" s="25">
        <f>IF($G216="","",IF(IFERROR(INDEX(Parámetros!$B$54:$B$60,MATCH($C216,Parámetros!$A$54:$A$60,0)),0)=1,ROUND($I216*Parámetros!$B$13,0),0))</f>
        <v/>
      </c>
      <c r="K216" s="25">
        <f>IF($G216="","",IF(IFERROR(INDEX(Parámetros!$C$54:$C$60,MATCH($C216,Parámetros!$A$54:$A$60,0)),0)=1,$J216,0))</f>
        <v/>
      </c>
      <c r="L216" s="25">
        <f>IF($G216="","",IF(IFERROR(INDEX(Parámetros!$D$54:$D$60,MATCH($C216,Parámetros!$A$54:$A$60,0)),0)=1,ROUND($I216*Parámetros!$B$16,0),0))</f>
        <v/>
      </c>
      <c r="M216" s="25">
        <f>IF($G216="","",$I216+$J216)</f>
        <v/>
      </c>
      <c r="N216" s="25">
        <f>IF($G216="","",$M216-$L216)</f>
        <v/>
      </c>
      <c r="O216" s="38" t="n"/>
      <c r="P216" s="38" t="n"/>
      <c r="Q216" s="37" t="n"/>
      <c r="R216" s="38" t="n"/>
      <c r="S216" s="40">
        <f>IF($A216="","",YEAR($A216))</f>
        <v/>
      </c>
      <c r="T216" s="40">
        <f>IF($A216="","",MONTH($A216))</f>
        <v/>
      </c>
      <c r="U216" s="40">
        <f>IF($Q216="","",YEAR($Q216))</f>
        <v/>
      </c>
      <c r="V216" s="40">
        <f>IF($Q216="","",MONTH($Q216))</f>
        <v/>
      </c>
    </row>
    <row r="217">
      <c r="A217" s="37" t="n"/>
      <c r="B217" s="38" t="n"/>
      <c r="C217" s="38" t="n"/>
      <c r="D217" s="38" t="n"/>
      <c r="E217" s="38" t="n"/>
      <c r="F217" s="38" t="n"/>
      <c r="G217" s="39" t="n"/>
      <c r="H217" s="38" t="n"/>
      <c r="I217" s="25">
        <f>IF($G217="","",IF(AND($H217="Sí",IFERROR(INDEX(Parámetros!$B$54:$B$60,MATCH($C217,Parámetros!$A$54:$A$60,0)),0)=1),ROUND($G217/(1+Parámetros!$B$13),0),$G217))</f>
        <v/>
      </c>
      <c r="J217" s="25">
        <f>IF($G217="","",IF(IFERROR(INDEX(Parámetros!$B$54:$B$60,MATCH($C217,Parámetros!$A$54:$A$60,0)),0)=1,ROUND($I217*Parámetros!$B$13,0),0))</f>
        <v/>
      </c>
      <c r="K217" s="25">
        <f>IF($G217="","",IF(IFERROR(INDEX(Parámetros!$C$54:$C$60,MATCH($C217,Parámetros!$A$54:$A$60,0)),0)=1,$J217,0))</f>
        <v/>
      </c>
      <c r="L217" s="25">
        <f>IF($G217="","",IF(IFERROR(INDEX(Parámetros!$D$54:$D$60,MATCH($C217,Parámetros!$A$54:$A$60,0)),0)=1,ROUND($I217*Parámetros!$B$16,0),0))</f>
        <v/>
      </c>
      <c r="M217" s="25">
        <f>IF($G217="","",$I217+$J217)</f>
        <v/>
      </c>
      <c r="N217" s="25">
        <f>IF($G217="","",$M217-$L217)</f>
        <v/>
      </c>
      <c r="O217" s="38" t="n"/>
      <c r="P217" s="38" t="n"/>
      <c r="Q217" s="37" t="n"/>
      <c r="R217" s="38" t="n"/>
      <c r="S217" s="40">
        <f>IF($A217="","",YEAR($A217))</f>
        <v/>
      </c>
      <c r="T217" s="40">
        <f>IF($A217="","",MONTH($A217))</f>
        <v/>
      </c>
      <c r="U217" s="40">
        <f>IF($Q217="","",YEAR($Q217))</f>
        <v/>
      </c>
      <c r="V217" s="40">
        <f>IF($Q217="","",MONTH($Q217))</f>
        <v/>
      </c>
    </row>
    <row r="218">
      <c r="A218" s="37" t="n"/>
      <c r="B218" s="38" t="n"/>
      <c r="C218" s="38" t="n"/>
      <c r="D218" s="38" t="n"/>
      <c r="E218" s="38" t="n"/>
      <c r="F218" s="38" t="n"/>
      <c r="G218" s="39" t="n"/>
      <c r="H218" s="38" t="n"/>
      <c r="I218" s="25">
        <f>IF($G218="","",IF(AND($H218="Sí",IFERROR(INDEX(Parámetros!$B$54:$B$60,MATCH($C218,Parámetros!$A$54:$A$60,0)),0)=1),ROUND($G218/(1+Parámetros!$B$13),0),$G218))</f>
        <v/>
      </c>
      <c r="J218" s="25">
        <f>IF($G218="","",IF(IFERROR(INDEX(Parámetros!$B$54:$B$60,MATCH($C218,Parámetros!$A$54:$A$60,0)),0)=1,ROUND($I218*Parámetros!$B$13,0),0))</f>
        <v/>
      </c>
      <c r="K218" s="25">
        <f>IF($G218="","",IF(IFERROR(INDEX(Parámetros!$C$54:$C$60,MATCH($C218,Parámetros!$A$54:$A$60,0)),0)=1,$J218,0))</f>
        <v/>
      </c>
      <c r="L218" s="25">
        <f>IF($G218="","",IF(IFERROR(INDEX(Parámetros!$D$54:$D$60,MATCH($C218,Parámetros!$A$54:$A$60,0)),0)=1,ROUND($I218*Parámetros!$B$16,0),0))</f>
        <v/>
      </c>
      <c r="M218" s="25">
        <f>IF($G218="","",$I218+$J218)</f>
        <v/>
      </c>
      <c r="N218" s="25">
        <f>IF($G218="","",$M218-$L218)</f>
        <v/>
      </c>
      <c r="O218" s="38" t="n"/>
      <c r="P218" s="38" t="n"/>
      <c r="Q218" s="37" t="n"/>
      <c r="R218" s="38" t="n"/>
      <c r="S218" s="40">
        <f>IF($A218="","",YEAR($A218))</f>
        <v/>
      </c>
      <c r="T218" s="40">
        <f>IF($A218="","",MONTH($A218))</f>
        <v/>
      </c>
      <c r="U218" s="40">
        <f>IF($Q218="","",YEAR($Q218))</f>
        <v/>
      </c>
      <c r="V218" s="40">
        <f>IF($Q218="","",MONTH($Q218))</f>
        <v/>
      </c>
    </row>
    <row r="219">
      <c r="A219" s="37" t="n"/>
      <c r="B219" s="38" t="n"/>
      <c r="C219" s="38" t="n"/>
      <c r="D219" s="38" t="n"/>
      <c r="E219" s="38" t="n"/>
      <c r="F219" s="38" t="n"/>
      <c r="G219" s="39" t="n"/>
      <c r="H219" s="38" t="n"/>
      <c r="I219" s="25">
        <f>IF($G219="","",IF(AND($H219="Sí",IFERROR(INDEX(Parámetros!$B$54:$B$60,MATCH($C219,Parámetros!$A$54:$A$60,0)),0)=1),ROUND($G219/(1+Parámetros!$B$13),0),$G219))</f>
        <v/>
      </c>
      <c r="J219" s="25">
        <f>IF($G219="","",IF(IFERROR(INDEX(Parámetros!$B$54:$B$60,MATCH($C219,Parámetros!$A$54:$A$60,0)),0)=1,ROUND($I219*Parámetros!$B$13,0),0))</f>
        <v/>
      </c>
      <c r="K219" s="25">
        <f>IF($G219="","",IF(IFERROR(INDEX(Parámetros!$C$54:$C$60,MATCH($C219,Parámetros!$A$54:$A$60,0)),0)=1,$J219,0))</f>
        <v/>
      </c>
      <c r="L219" s="25">
        <f>IF($G219="","",IF(IFERROR(INDEX(Parámetros!$D$54:$D$60,MATCH($C219,Parámetros!$A$54:$A$60,0)),0)=1,ROUND($I219*Parámetros!$B$16,0),0))</f>
        <v/>
      </c>
      <c r="M219" s="25">
        <f>IF($G219="","",$I219+$J219)</f>
        <v/>
      </c>
      <c r="N219" s="25">
        <f>IF($G219="","",$M219-$L219)</f>
        <v/>
      </c>
      <c r="O219" s="38" t="n"/>
      <c r="P219" s="38" t="n"/>
      <c r="Q219" s="37" t="n"/>
      <c r="R219" s="38" t="n"/>
      <c r="S219" s="40">
        <f>IF($A219="","",YEAR($A219))</f>
        <v/>
      </c>
      <c r="T219" s="40">
        <f>IF($A219="","",MONTH($A219))</f>
        <v/>
      </c>
      <c r="U219" s="40">
        <f>IF($Q219="","",YEAR($Q219))</f>
        <v/>
      </c>
      <c r="V219" s="40">
        <f>IF($Q219="","",MONTH($Q219))</f>
        <v/>
      </c>
    </row>
    <row r="220">
      <c r="A220" s="37" t="n"/>
      <c r="B220" s="38" t="n"/>
      <c r="C220" s="38" t="n"/>
      <c r="D220" s="38" t="n"/>
      <c r="E220" s="38" t="n"/>
      <c r="F220" s="38" t="n"/>
      <c r="G220" s="39" t="n"/>
      <c r="H220" s="38" t="n"/>
      <c r="I220" s="25">
        <f>IF($G220="","",IF(AND($H220="Sí",IFERROR(INDEX(Parámetros!$B$54:$B$60,MATCH($C220,Parámetros!$A$54:$A$60,0)),0)=1),ROUND($G220/(1+Parámetros!$B$13),0),$G220))</f>
        <v/>
      </c>
      <c r="J220" s="25">
        <f>IF($G220="","",IF(IFERROR(INDEX(Parámetros!$B$54:$B$60,MATCH($C220,Parámetros!$A$54:$A$60,0)),0)=1,ROUND($I220*Parámetros!$B$13,0),0))</f>
        <v/>
      </c>
      <c r="K220" s="25">
        <f>IF($G220="","",IF(IFERROR(INDEX(Parámetros!$C$54:$C$60,MATCH($C220,Parámetros!$A$54:$A$60,0)),0)=1,$J220,0))</f>
        <v/>
      </c>
      <c r="L220" s="25">
        <f>IF($G220="","",IF(IFERROR(INDEX(Parámetros!$D$54:$D$60,MATCH($C220,Parámetros!$A$54:$A$60,0)),0)=1,ROUND($I220*Parámetros!$B$16,0),0))</f>
        <v/>
      </c>
      <c r="M220" s="25">
        <f>IF($G220="","",$I220+$J220)</f>
        <v/>
      </c>
      <c r="N220" s="25">
        <f>IF($G220="","",$M220-$L220)</f>
        <v/>
      </c>
      <c r="O220" s="38" t="n"/>
      <c r="P220" s="38" t="n"/>
      <c r="Q220" s="37" t="n"/>
      <c r="R220" s="38" t="n"/>
      <c r="S220" s="40">
        <f>IF($A220="","",YEAR($A220))</f>
        <v/>
      </c>
      <c r="T220" s="40">
        <f>IF($A220="","",MONTH($A220))</f>
        <v/>
      </c>
      <c r="U220" s="40">
        <f>IF($Q220="","",YEAR($Q220))</f>
        <v/>
      </c>
      <c r="V220" s="40">
        <f>IF($Q220="","",MONTH($Q220))</f>
        <v/>
      </c>
    </row>
    <row r="221">
      <c r="A221" s="37" t="n"/>
      <c r="B221" s="38" t="n"/>
      <c r="C221" s="38" t="n"/>
      <c r="D221" s="38" t="n"/>
      <c r="E221" s="38" t="n"/>
      <c r="F221" s="38" t="n"/>
      <c r="G221" s="39" t="n"/>
      <c r="H221" s="38" t="n"/>
      <c r="I221" s="25">
        <f>IF($G221="","",IF(AND($H221="Sí",IFERROR(INDEX(Parámetros!$B$54:$B$60,MATCH($C221,Parámetros!$A$54:$A$60,0)),0)=1),ROUND($G221/(1+Parámetros!$B$13),0),$G221))</f>
        <v/>
      </c>
      <c r="J221" s="25">
        <f>IF($G221="","",IF(IFERROR(INDEX(Parámetros!$B$54:$B$60,MATCH($C221,Parámetros!$A$54:$A$60,0)),0)=1,ROUND($I221*Parámetros!$B$13,0),0))</f>
        <v/>
      </c>
      <c r="K221" s="25">
        <f>IF($G221="","",IF(IFERROR(INDEX(Parámetros!$C$54:$C$60,MATCH($C221,Parámetros!$A$54:$A$60,0)),0)=1,$J221,0))</f>
        <v/>
      </c>
      <c r="L221" s="25">
        <f>IF($G221="","",IF(IFERROR(INDEX(Parámetros!$D$54:$D$60,MATCH($C221,Parámetros!$A$54:$A$60,0)),0)=1,ROUND($I221*Parámetros!$B$16,0),0))</f>
        <v/>
      </c>
      <c r="M221" s="25">
        <f>IF($G221="","",$I221+$J221)</f>
        <v/>
      </c>
      <c r="N221" s="25">
        <f>IF($G221="","",$M221-$L221)</f>
        <v/>
      </c>
      <c r="O221" s="38" t="n"/>
      <c r="P221" s="38" t="n"/>
      <c r="Q221" s="37" t="n"/>
      <c r="R221" s="38" t="n"/>
      <c r="S221" s="40">
        <f>IF($A221="","",YEAR($A221))</f>
        <v/>
      </c>
      <c r="T221" s="40">
        <f>IF($A221="","",MONTH($A221))</f>
        <v/>
      </c>
      <c r="U221" s="40">
        <f>IF($Q221="","",YEAR($Q221))</f>
        <v/>
      </c>
      <c r="V221" s="40">
        <f>IF($Q221="","",MONTH($Q221))</f>
        <v/>
      </c>
    </row>
    <row r="222">
      <c r="A222" s="37" t="n"/>
      <c r="B222" s="38" t="n"/>
      <c r="C222" s="38" t="n"/>
      <c r="D222" s="38" t="n"/>
      <c r="E222" s="38" t="n"/>
      <c r="F222" s="38" t="n"/>
      <c r="G222" s="39" t="n"/>
      <c r="H222" s="38" t="n"/>
      <c r="I222" s="25">
        <f>IF($G222="","",IF(AND($H222="Sí",IFERROR(INDEX(Parámetros!$B$54:$B$60,MATCH($C222,Parámetros!$A$54:$A$60,0)),0)=1),ROUND($G222/(1+Parámetros!$B$13),0),$G222))</f>
        <v/>
      </c>
      <c r="J222" s="25">
        <f>IF($G222="","",IF(IFERROR(INDEX(Parámetros!$B$54:$B$60,MATCH($C222,Parámetros!$A$54:$A$60,0)),0)=1,ROUND($I222*Parámetros!$B$13,0),0))</f>
        <v/>
      </c>
      <c r="K222" s="25">
        <f>IF($G222="","",IF(IFERROR(INDEX(Parámetros!$C$54:$C$60,MATCH($C222,Parámetros!$A$54:$A$60,0)),0)=1,$J222,0))</f>
        <v/>
      </c>
      <c r="L222" s="25">
        <f>IF($G222="","",IF(IFERROR(INDEX(Parámetros!$D$54:$D$60,MATCH($C222,Parámetros!$A$54:$A$60,0)),0)=1,ROUND($I222*Parámetros!$B$16,0),0))</f>
        <v/>
      </c>
      <c r="M222" s="25">
        <f>IF($G222="","",$I222+$J222)</f>
        <v/>
      </c>
      <c r="N222" s="25">
        <f>IF($G222="","",$M222-$L222)</f>
        <v/>
      </c>
      <c r="O222" s="38" t="n"/>
      <c r="P222" s="38" t="n"/>
      <c r="Q222" s="37" t="n"/>
      <c r="R222" s="38" t="n"/>
      <c r="S222" s="40">
        <f>IF($A222="","",YEAR($A222))</f>
        <v/>
      </c>
      <c r="T222" s="40">
        <f>IF($A222="","",MONTH($A222))</f>
        <v/>
      </c>
      <c r="U222" s="40">
        <f>IF($Q222="","",YEAR($Q222))</f>
        <v/>
      </c>
      <c r="V222" s="40">
        <f>IF($Q222="","",MONTH($Q222))</f>
        <v/>
      </c>
    </row>
    <row r="223">
      <c r="A223" s="37" t="n"/>
      <c r="B223" s="38" t="n"/>
      <c r="C223" s="38" t="n"/>
      <c r="D223" s="38" t="n"/>
      <c r="E223" s="38" t="n"/>
      <c r="F223" s="38" t="n"/>
      <c r="G223" s="39" t="n"/>
      <c r="H223" s="38" t="n"/>
      <c r="I223" s="25">
        <f>IF($G223="","",IF(AND($H223="Sí",IFERROR(INDEX(Parámetros!$B$54:$B$60,MATCH($C223,Parámetros!$A$54:$A$60,0)),0)=1),ROUND($G223/(1+Parámetros!$B$13),0),$G223))</f>
        <v/>
      </c>
      <c r="J223" s="25">
        <f>IF($G223="","",IF(IFERROR(INDEX(Parámetros!$B$54:$B$60,MATCH($C223,Parámetros!$A$54:$A$60,0)),0)=1,ROUND($I223*Parámetros!$B$13,0),0))</f>
        <v/>
      </c>
      <c r="K223" s="25">
        <f>IF($G223="","",IF(IFERROR(INDEX(Parámetros!$C$54:$C$60,MATCH($C223,Parámetros!$A$54:$A$60,0)),0)=1,$J223,0))</f>
        <v/>
      </c>
      <c r="L223" s="25">
        <f>IF($G223="","",IF(IFERROR(INDEX(Parámetros!$D$54:$D$60,MATCH($C223,Parámetros!$A$54:$A$60,0)),0)=1,ROUND($I223*Parámetros!$B$16,0),0))</f>
        <v/>
      </c>
      <c r="M223" s="25">
        <f>IF($G223="","",$I223+$J223)</f>
        <v/>
      </c>
      <c r="N223" s="25">
        <f>IF($G223="","",$M223-$L223)</f>
        <v/>
      </c>
      <c r="O223" s="38" t="n"/>
      <c r="P223" s="38" t="n"/>
      <c r="Q223" s="37" t="n"/>
      <c r="R223" s="38" t="n"/>
      <c r="S223" s="40">
        <f>IF($A223="","",YEAR($A223))</f>
        <v/>
      </c>
      <c r="T223" s="40">
        <f>IF($A223="","",MONTH($A223))</f>
        <v/>
      </c>
      <c r="U223" s="40">
        <f>IF($Q223="","",YEAR($Q223))</f>
        <v/>
      </c>
      <c r="V223" s="40">
        <f>IF($Q223="","",MONTH($Q223))</f>
        <v/>
      </c>
    </row>
    <row r="224">
      <c r="A224" s="37" t="n"/>
      <c r="B224" s="38" t="n"/>
      <c r="C224" s="38" t="n"/>
      <c r="D224" s="38" t="n"/>
      <c r="E224" s="38" t="n"/>
      <c r="F224" s="38" t="n"/>
      <c r="G224" s="39" t="n"/>
      <c r="H224" s="38" t="n"/>
      <c r="I224" s="25">
        <f>IF($G224="","",IF(AND($H224="Sí",IFERROR(INDEX(Parámetros!$B$54:$B$60,MATCH($C224,Parámetros!$A$54:$A$60,0)),0)=1),ROUND($G224/(1+Parámetros!$B$13),0),$G224))</f>
        <v/>
      </c>
      <c r="J224" s="25">
        <f>IF($G224="","",IF(IFERROR(INDEX(Parámetros!$B$54:$B$60,MATCH($C224,Parámetros!$A$54:$A$60,0)),0)=1,ROUND($I224*Parámetros!$B$13,0),0))</f>
        <v/>
      </c>
      <c r="K224" s="25">
        <f>IF($G224="","",IF(IFERROR(INDEX(Parámetros!$C$54:$C$60,MATCH($C224,Parámetros!$A$54:$A$60,0)),0)=1,$J224,0))</f>
        <v/>
      </c>
      <c r="L224" s="25">
        <f>IF($G224="","",IF(IFERROR(INDEX(Parámetros!$D$54:$D$60,MATCH($C224,Parámetros!$A$54:$A$60,0)),0)=1,ROUND($I224*Parámetros!$B$16,0),0))</f>
        <v/>
      </c>
      <c r="M224" s="25">
        <f>IF($G224="","",$I224+$J224)</f>
        <v/>
      </c>
      <c r="N224" s="25">
        <f>IF($G224="","",$M224-$L224)</f>
        <v/>
      </c>
      <c r="O224" s="38" t="n"/>
      <c r="P224" s="38" t="n"/>
      <c r="Q224" s="37" t="n"/>
      <c r="R224" s="38" t="n"/>
      <c r="S224" s="40">
        <f>IF($A224="","",YEAR($A224))</f>
        <v/>
      </c>
      <c r="T224" s="40">
        <f>IF($A224="","",MONTH($A224))</f>
        <v/>
      </c>
      <c r="U224" s="40">
        <f>IF($Q224="","",YEAR($Q224))</f>
        <v/>
      </c>
      <c r="V224" s="40">
        <f>IF($Q224="","",MONTH($Q224))</f>
        <v/>
      </c>
    </row>
    <row r="225">
      <c r="A225" s="37" t="n"/>
      <c r="B225" s="38" t="n"/>
      <c r="C225" s="38" t="n"/>
      <c r="D225" s="38" t="n"/>
      <c r="E225" s="38" t="n"/>
      <c r="F225" s="38" t="n"/>
      <c r="G225" s="39" t="n"/>
      <c r="H225" s="38" t="n"/>
      <c r="I225" s="25">
        <f>IF($G225="","",IF(AND($H225="Sí",IFERROR(INDEX(Parámetros!$B$54:$B$60,MATCH($C225,Parámetros!$A$54:$A$60,0)),0)=1),ROUND($G225/(1+Parámetros!$B$13),0),$G225))</f>
        <v/>
      </c>
      <c r="J225" s="25">
        <f>IF($G225="","",IF(IFERROR(INDEX(Parámetros!$B$54:$B$60,MATCH($C225,Parámetros!$A$54:$A$60,0)),0)=1,ROUND($I225*Parámetros!$B$13,0),0))</f>
        <v/>
      </c>
      <c r="K225" s="25">
        <f>IF($G225="","",IF(IFERROR(INDEX(Parámetros!$C$54:$C$60,MATCH($C225,Parámetros!$A$54:$A$60,0)),0)=1,$J225,0))</f>
        <v/>
      </c>
      <c r="L225" s="25">
        <f>IF($G225="","",IF(IFERROR(INDEX(Parámetros!$D$54:$D$60,MATCH($C225,Parámetros!$A$54:$A$60,0)),0)=1,ROUND($I225*Parámetros!$B$16,0),0))</f>
        <v/>
      </c>
      <c r="M225" s="25">
        <f>IF($G225="","",$I225+$J225)</f>
        <v/>
      </c>
      <c r="N225" s="25">
        <f>IF($G225="","",$M225-$L225)</f>
        <v/>
      </c>
      <c r="O225" s="38" t="n"/>
      <c r="P225" s="38" t="n"/>
      <c r="Q225" s="37" t="n"/>
      <c r="R225" s="38" t="n"/>
      <c r="S225" s="40">
        <f>IF($A225="","",YEAR($A225))</f>
        <v/>
      </c>
      <c r="T225" s="40">
        <f>IF($A225="","",MONTH($A225))</f>
        <v/>
      </c>
      <c r="U225" s="40">
        <f>IF($Q225="","",YEAR($Q225))</f>
        <v/>
      </c>
      <c r="V225" s="40">
        <f>IF($Q225="","",MONTH($Q225))</f>
        <v/>
      </c>
    </row>
    <row r="226">
      <c r="A226" s="37" t="n"/>
      <c r="B226" s="38" t="n"/>
      <c r="C226" s="38" t="n"/>
      <c r="D226" s="38" t="n"/>
      <c r="E226" s="38" t="n"/>
      <c r="F226" s="38" t="n"/>
      <c r="G226" s="39" t="n"/>
      <c r="H226" s="38" t="n"/>
      <c r="I226" s="25">
        <f>IF($G226="","",IF(AND($H226="Sí",IFERROR(INDEX(Parámetros!$B$54:$B$60,MATCH($C226,Parámetros!$A$54:$A$60,0)),0)=1),ROUND($G226/(1+Parámetros!$B$13),0),$G226))</f>
        <v/>
      </c>
      <c r="J226" s="25">
        <f>IF($G226="","",IF(IFERROR(INDEX(Parámetros!$B$54:$B$60,MATCH($C226,Parámetros!$A$54:$A$60,0)),0)=1,ROUND($I226*Parámetros!$B$13,0),0))</f>
        <v/>
      </c>
      <c r="K226" s="25">
        <f>IF($G226="","",IF(IFERROR(INDEX(Parámetros!$C$54:$C$60,MATCH($C226,Parámetros!$A$54:$A$60,0)),0)=1,$J226,0))</f>
        <v/>
      </c>
      <c r="L226" s="25">
        <f>IF($G226="","",IF(IFERROR(INDEX(Parámetros!$D$54:$D$60,MATCH($C226,Parámetros!$A$54:$A$60,0)),0)=1,ROUND($I226*Parámetros!$B$16,0),0))</f>
        <v/>
      </c>
      <c r="M226" s="25">
        <f>IF($G226="","",$I226+$J226)</f>
        <v/>
      </c>
      <c r="N226" s="25">
        <f>IF($G226="","",$M226-$L226)</f>
        <v/>
      </c>
      <c r="O226" s="38" t="n"/>
      <c r="P226" s="38" t="n"/>
      <c r="Q226" s="37" t="n"/>
      <c r="R226" s="38" t="n"/>
      <c r="S226" s="40">
        <f>IF($A226="","",YEAR($A226))</f>
        <v/>
      </c>
      <c r="T226" s="40">
        <f>IF($A226="","",MONTH($A226))</f>
        <v/>
      </c>
      <c r="U226" s="40">
        <f>IF($Q226="","",YEAR($Q226))</f>
        <v/>
      </c>
      <c r="V226" s="40">
        <f>IF($Q226="","",MONTH($Q226))</f>
        <v/>
      </c>
    </row>
    <row r="227">
      <c r="A227" s="37" t="n"/>
      <c r="B227" s="38" t="n"/>
      <c r="C227" s="38" t="n"/>
      <c r="D227" s="38" t="n"/>
      <c r="E227" s="38" t="n"/>
      <c r="F227" s="38" t="n"/>
      <c r="G227" s="39" t="n"/>
      <c r="H227" s="38" t="n"/>
      <c r="I227" s="25">
        <f>IF($G227="","",IF(AND($H227="Sí",IFERROR(INDEX(Parámetros!$B$54:$B$60,MATCH($C227,Parámetros!$A$54:$A$60,0)),0)=1),ROUND($G227/(1+Parámetros!$B$13),0),$G227))</f>
        <v/>
      </c>
      <c r="J227" s="25">
        <f>IF($G227="","",IF(IFERROR(INDEX(Parámetros!$B$54:$B$60,MATCH($C227,Parámetros!$A$54:$A$60,0)),0)=1,ROUND($I227*Parámetros!$B$13,0),0))</f>
        <v/>
      </c>
      <c r="K227" s="25">
        <f>IF($G227="","",IF(IFERROR(INDEX(Parámetros!$C$54:$C$60,MATCH($C227,Parámetros!$A$54:$A$60,0)),0)=1,$J227,0))</f>
        <v/>
      </c>
      <c r="L227" s="25">
        <f>IF($G227="","",IF(IFERROR(INDEX(Parámetros!$D$54:$D$60,MATCH($C227,Parámetros!$A$54:$A$60,0)),0)=1,ROUND($I227*Parámetros!$B$16,0),0))</f>
        <v/>
      </c>
      <c r="M227" s="25">
        <f>IF($G227="","",$I227+$J227)</f>
        <v/>
      </c>
      <c r="N227" s="25">
        <f>IF($G227="","",$M227-$L227)</f>
        <v/>
      </c>
      <c r="O227" s="38" t="n"/>
      <c r="P227" s="38" t="n"/>
      <c r="Q227" s="37" t="n"/>
      <c r="R227" s="38" t="n"/>
      <c r="S227" s="40">
        <f>IF($A227="","",YEAR($A227))</f>
        <v/>
      </c>
      <c r="T227" s="40">
        <f>IF($A227="","",MONTH($A227))</f>
        <v/>
      </c>
      <c r="U227" s="40">
        <f>IF($Q227="","",YEAR($Q227))</f>
        <v/>
      </c>
      <c r="V227" s="40">
        <f>IF($Q227="","",MONTH($Q227))</f>
        <v/>
      </c>
    </row>
    <row r="228">
      <c r="A228" s="37" t="n"/>
      <c r="B228" s="38" t="n"/>
      <c r="C228" s="38" t="n"/>
      <c r="D228" s="38" t="n"/>
      <c r="E228" s="38" t="n"/>
      <c r="F228" s="38" t="n"/>
      <c r="G228" s="39" t="n"/>
      <c r="H228" s="38" t="n"/>
      <c r="I228" s="25">
        <f>IF($G228="","",IF(AND($H228="Sí",IFERROR(INDEX(Parámetros!$B$54:$B$60,MATCH($C228,Parámetros!$A$54:$A$60,0)),0)=1),ROUND($G228/(1+Parámetros!$B$13),0),$G228))</f>
        <v/>
      </c>
      <c r="J228" s="25">
        <f>IF($G228="","",IF(IFERROR(INDEX(Parámetros!$B$54:$B$60,MATCH($C228,Parámetros!$A$54:$A$60,0)),0)=1,ROUND($I228*Parámetros!$B$13,0),0))</f>
        <v/>
      </c>
      <c r="K228" s="25">
        <f>IF($G228="","",IF(IFERROR(INDEX(Parámetros!$C$54:$C$60,MATCH($C228,Parámetros!$A$54:$A$60,0)),0)=1,$J228,0))</f>
        <v/>
      </c>
      <c r="L228" s="25">
        <f>IF($G228="","",IF(IFERROR(INDEX(Parámetros!$D$54:$D$60,MATCH($C228,Parámetros!$A$54:$A$60,0)),0)=1,ROUND($I228*Parámetros!$B$16,0),0))</f>
        <v/>
      </c>
      <c r="M228" s="25">
        <f>IF($G228="","",$I228+$J228)</f>
        <v/>
      </c>
      <c r="N228" s="25">
        <f>IF($G228="","",$M228-$L228)</f>
        <v/>
      </c>
      <c r="O228" s="38" t="n"/>
      <c r="P228" s="38" t="n"/>
      <c r="Q228" s="37" t="n"/>
      <c r="R228" s="38" t="n"/>
      <c r="S228" s="40">
        <f>IF($A228="","",YEAR($A228))</f>
        <v/>
      </c>
      <c r="T228" s="40">
        <f>IF($A228="","",MONTH($A228))</f>
        <v/>
      </c>
      <c r="U228" s="40">
        <f>IF($Q228="","",YEAR($Q228))</f>
        <v/>
      </c>
      <c r="V228" s="40">
        <f>IF($Q228="","",MONTH($Q228))</f>
        <v/>
      </c>
    </row>
    <row r="229">
      <c r="A229" s="37" t="n"/>
      <c r="B229" s="38" t="n"/>
      <c r="C229" s="38" t="n"/>
      <c r="D229" s="38" t="n"/>
      <c r="E229" s="38" t="n"/>
      <c r="F229" s="38" t="n"/>
      <c r="G229" s="39" t="n"/>
      <c r="H229" s="38" t="n"/>
      <c r="I229" s="25">
        <f>IF($G229="","",IF(AND($H229="Sí",IFERROR(INDEX(Parámetros!$B$54:$B$60,MATCH($C229,Parámetros!$A$54:$A$60,0)),0)=1),ROUND($G229/(1+Parámetros!$B$13),0),$G229))</f>
        <v/>
      </c>
      <c r="J229" s="25">
        <f>IF($G229="","",IF(IFERROR(INDEX(Parámetros!$B$54:$B$60,MATCH($C229,Parámetros!$A$54:$A$60,0)),0)=1,ROUND($I229*Parámetros!$B$13,0),0))</f>
        <v/>
      </c>
      <c r="K229" s="25">
        <f>IF($G229="","",IF(IFERROR(INDEX(Parámetros!$C$54:$C$60,MATCH($C229,Parámetros!$A$54:$A$60,0)),0)=1,$J229,0))</f>
        <v/>
      </c>
      <c r="L229" s="25">
        <f>IF($G229="","",IF(IFERROR(INDEX(Parámetros!$D$54:$D$60,MATCH($C229,Parámetros!$A$54:$A$60,0)),0)=1,ROUND($I229*Parámetros!$B$16,0),0))</f>
        <v/>
      </c>
      <c r="M229" s="25">
        <f>IF($G229="","",$I229+$J229)</f>
        <v/>
      </c>
      <c r="N229" s="25">
        <f>IF($G229="","",$M229-$L229)</f>
        <v/>
      </c>
      <c r="O229" s="38" t="n"/>
      <c r="P229" s="38" t="n"/>
      <c r="Q229" s="37" t="n"/>
      <c r="R229" s="38" t="n"/>
      <c r="S229" s="40">
        <f>IF($A229="","",YEAR($A229))</f>
        <v/>
      </c>
      <c r="T229" s="40">
        <f>IF($A229="","",MONTH($A229))</f>
        <v/>
      </c>
      <c r="U229" s="40">
        <f>IF($Q229="","",YEAR($Q229))</f>
        <v/>
      </c>
      <c r="V229" s="40">
        <f>IF($Q229="","",MONTH($Q229))</f>
        <v/>
      </c>
    </row>
    <row r="230">
      <c r="A230" s="37" t="n"/>
      <c r="B230" s="38" t="n"/>
      <c r="C230" s="38" t="n"/>
      <c r="D230" s="38" t="n"/>
      <c r="E230" s="38" t="n"/>
      <c r="F230" s="38" t="n"/>
      <c r="G230" s="39" t="n"/>
      <c r="H230" s="38" t="n"/>
      <c r="I230" s="25">
        <f>IF($G230="","",IF(AND($H230="Sí",IFERROR(INDEX(Parámetros!$B$54:$B$60,MATCH($C230,Parámetros!$A$54:$A$60,0)),0)=1),ROUND($G230/(1+Parámetros!$B$13),0),$G230))</f>
        <v/>
      </c>
      <c r="J230" s="25">
        <f>IF($G230="","",IF(IFERROR(INDEX(Parámetros!$B$54:$B$60,MATCH($C230,Parámetros!$A$54:$A$60,0)),0)=1,ROUND($I230*Parámetros!$B$13,0),0))</f>
        <v/>
      </c>
      <c r="K230" s="25">
        <f>IF($G230="","",IF(IFERROR(INDEX(Parámetros!$C$54:$C$60,MATCH($C230,Parámetros!$A$54:$A$60,0)),0)=1,$J230,0))</f>
        <v/>
      </c>
      <c r="L230" s="25">
        <f>IF($G230="","",IF(IFERROR(INDEX(Parámetros!$D$54:$D$60,MATCH($C230,Parámetros!$A$54:$A$60,0)),0)=1,ROUND($I230*Parámetros!$B$16,0),0))</f>
        <v/>
      </c>
      <c r="M230" s="25">
        <f>IF($G230="","",$I230+$J230)</f>
        <v/>
      </c>
      <c r="N230" s="25">
        <f>IF($G230="","",$M230-$L230)</f>
        <v/>
      </c>
      <c r="O230" s="38" t="n"/>
      <c r="P230" s="38" t="n"/>
      <c r="Q230" s="37" t="n"/>
      <c r="R230" s="38" t="n"/>
      <c r="S230" s="40">
        <f>IF($A230="","",YEAR($A230))</f>
        <v/>
      </c>
      <c r="T230" s="40">
        <f>IF($A230="","",MONTH($A230))</f>
        <v/>
      </c>
      <c r="U230" s="40">
        <f>IF($Q230="","",YEAR($Q230))</f>
        <v/>
      </c>
      <c r="V230" s="40">
        <f>IF($Q230="","",MONTH($Q230))</f>
        <v/>
      </c>
    </row>
    <row r="231">
      <c r="A231" s="37" t="n"/>
      <c r="B231" s="38" t="n"/>
      <c r="C231" s="38" t="n"/>
      <c r="D231" s="38" t="n"/>
      <c r="E231" s="38" t="n"/>
      <c r="F231" s="38" t="n"/>
      <c r="G231" s="39" t="n"/>
      <c r="H231" s="38" t="n"/>
      <c r="I231" s="25">
        <f>IF($G231="","",IF(AND($H231="Sí",IFERROR(INDEX(Parámetros!$B$54:$B$60,MATCH($C231,Parámetros!$A$54:$A$60,0)),0)=1),ROUND($G231/(1+Parámetros!$B$13),0),$G231))</f>
        <v/>
      </c>
      <c r="J231" s="25">
        <f>IF($G231="","",IF(IFERROR(INDEX(Parámetros!$B$54:$B$60,MATCH($C231,Parámetros!$A$54:$A$60,0)),0)=1,ROUND($I231*Parámetros!$B$13,0),0))</f>
        <v/>
      </c>
      <c r="K231" s="25">
        <f>IF($G231="","",IF(IFERROR(INDEX(Parámetros!$C$54:$C$60,MATCH($C231,Parámetros!$A$54:$A$60,0)),0)=1,$J231,0))</f>
        <v/>
      </c>
      <c r="L231" s="25">
        <f>IF($G231="","",IF(IFERROR(INDEX(Parámetros!$D$54:$D$60,MATCH($C231,Parámetros!$A$54:$A$60,0)),0)=1,ROUND($I231*Parámetros!$B$16,0),0))</f>
        <v/>
      </c>
      <c r="M231" s="25">
        <f>IF($G231="","",$I231+$J231)</f>
        <v/>
      </c>
      <c r="N231" s="25">
        <f>IF($G231="","",$M231-$L231)</f>
        <v/>
      </c>
      <c r="O231" s="38" t="n"/>
      <c r="P231" s="38" t="n"/>
      <c r="Q231" s="37" t="n"/>
      <c r="R231" s="38" t="n"/>
      <c r="S231" s="40">
        <f>IF($A231="","",YEAR($A231))</f>
        <v/>
      </c>
      <c r="T231" s="40">
        <f>IF($A231="","",MONTH($A231))</f>
        <v/>
      </c>
      <c r="U231" s="40">
        <f>IF($Q231="","",YEAR($Q231))</f>
        <v/>
      </c>
      <c r="V231" s="40">
        <f>IF($Q231="","",MONTH($Q231))</f>
        <v/>
      </c>
    </row>
    <row r="232">
      <c r="A232" s="37" t="n"/>
      <c r="B232" s="38" t="n"/>
      <c r="C232" s="38" t="n"/>
      <c r="D232" s="38" t="n"/>
      <c r="E232" s="38" t="n"/>
      <c r="F232" s="38" t="n"/>
      <c r="G232" s="39" t="n"/>
      <c r="H232" s="38" t="n"/>
      <c r="I232" s="25">
        <f>IF($G232="","",IF(AND($H232="Sí",IFERROR(INDEX(Parámetros!$B$54:$B$60,MATCH($C232,Parámetros!$A$54:$A$60,0)),0)=1),ROUND($G232/(1+Parámetros!$B$13),0),$G232))</f>
        <v/>
      </c>
      <c r="J232" s="25">
        <f>IF($G232="","",IF(IFERROR(INDEX(Parámetros!$B$54:$B$60,MATCH($C232,Parámetros!$A$54:$A$60,0)),0)=1,ROUND($I232*Parámetros!$B$13,0),0))</f>
        <v/>
      </c>
      <c r="K232" s="25">
        <f>IF($G232="","",IF(IFERROR(INDEX(Parámetros!$C$54:$C$60,MATCH($C232,Parámetros!$A$54:$A$60,0)),0)=1,$J232,0))</f>
        <v/>
      </c>
      <c r="L232" s="25">
        <f>IF($G232="","",IF(IFERROR(INDEX(Parámetros!$D$54:$D$60,MATCH($C232,Parámetros!$A$54:$A$60,0)),0)=1,ROUND($I232*Parámetros!$B$16,0),0))</f>
        <v/>
      </c>
      <c r="M232" s="25">
        <f>IF($G232="","",$I232+$J232)</f>
        <v/>
      </c>
      <c r="N232" s="25">
        <f>IF($G232="","",$M232-$L232)</f>
        <v/>
      </c>
      <c r="O232" s="38" t="n"/>
      <c r="P232" s="38" t="n"/>
      <c r="Q232" s="37" t="n"/>
      <c r="R232" s="38" t="n"/>
      <c r="S232" s="40">
        <f>IF($A232="","",YEAR($A232))</f>
        <v/>
      </c>
      <c r="T232" s="40">
        <f>IF($A232="","",MONTH($A232))</f>
        <v/>
      </c>
      <c r="U232" s="40">
        <f>IF($Q232="","",YEAR($Q232))</f>
        <v/>
      </c>
      <c r="V232" s="40">
        <f>IF($Q232="","",MONTH($Q232))</f>
        <v/>
      </c>
    </row>
    <row r="233">
      <c r="A233" s="37" t="n"/>
      <c r="B233" s="38" t="n"/>
      <c r="C233" s="38" t="n"/>
      <c r="D233" s="38" t="n"/>
      <c r="E233" s="38" t="n"/>
      <c r="F233" s="38" t="n"/>
      <c r="G233" s="39" t="n"/>
      <c r="H233" s="38" t="n"/>
      <c r="I233" s="25">
        <f>IF($G233="","",IF(AND($H233="Sí",IFERROR(INDEX(Parámetros!$B$54:$B$60,MATCH($C233,Parámetros!$A$54:$A$60,0)),0)=1),ROUND($G233/(1+Parámetros!$B$13),0),$G233))</f>
        <v/>
      </c>
      <c r="J233" s="25">
        <f>IF($G233="","",IF(IFERROR(INDEX(Parámetros!$B$54:$B$60,MATCH($C233,Parámetros!$A$54:$A$60,0)),0)=1,ROUND($I233*Parámetros!$B$13,0),0))</f>
        <v/>
      </c>
      <c r="K233" s="25">
        <f>IF($G233="","",IF(IFERROR(INDEX(Parámetros!$C$54:$C$60,MATCH($C233,Parámetros!$A$54:$A$60,0)),0)=1,$J233,0))</f>
        <v/>
      </c>
      <c r="L233" s="25">
        <f>IF($G233="","",IF(IFERROR(INDEX(Parámetros!$D$54:$D$60,MATCH($C233,Parámetros!$A$54:$A$60,0)),0)=1,ROUND($I233*Parámetros!$B$16,0),0))</f>
        <v/>
      </c>
      <c r="M233" s="25">
        <f>IF($G233="","",$I233+$J233)</f>
        <v/>
      </c>
      <c r="N233" s="25">
        <f>IF($G233="","",$M233-$L233)</f>
        <v/>
      </c>
      <c r="O233" s="38" t="n"/>
      <c r="P233" s="38" t="n"/>
      <c r="Q233" s="37" t="n"/>
      <c r="R233" s="38" t="n"/>
      <c r="S233" s="40">
        <f>IF($A233="","",YEAR($A233))</f>
        <v/>
      </c>
      <c r="T233" s="40">
        <f>IF($A233="","",MONTH($A233))</f>
        <v/>
      </c>
      <c r="U233" s="40">
        <f>IF($Q233="","",YEAR($Q233))</f>
        <v/>
      </c>
      <c r="V233" s="40">
        <f>IF($Q233="","",MONTH($Q233))</f>
        <v/>
      </c>
    </row>
    <row r="234">
      <c r="A234" s="37" t="n"/>
      <c r="B234" s="38" t="n"/>
      <c r="C234" s="38" t="n"/>
      <c r="D234" s="38" t="n"/>
      <c r="E234" s="38" t="n"/>
      <c r="F234" s="38" t="n"/>
      <c r="G234" s="39" t="n"/>
      <c r="H234" s="38" t="n"/>
      <c r="I234" s="25">
        <f>IF($G234="","",IF(AND($H234="Sí",IFERROR(INDEX(Parámetros!$B$54:$B$60,MATCH($C234,Parámetros!$A$54:$A$60,0)),0)=1),ROUND($G234/(1+Parámetros!$B$13),0),$G234))</f>
        <v/>
      </c>
      <c r="J234" s="25">
        <f>IF($G234="","",IF(IFERROR(INDEX(Parámetros!$B$54:$B$60,MATCH($C234,Parámetros!$A$54:$A$60,0)),0)=1,ROUND($I234*Parámetros!$B$13,0),0))</f>
        <v/>
      </c>
      <c r="K234" s="25">
        <f>IF($G234="","",IF(IFERROR(INDEX(Parámetros!$C$54:$C$60,MATCH($C234,Parámetros!$A$54:$A$60,0)),0)=1,$J234,0))</f>
        <v/>
      </c>
      <c r="L234" s="25">
        <f>IF($G234="","",IF(IFERROR(INDEX(Parámetros!$D$54:$D$60,MATCH($C234,Parámetros!$A$54:$A$60,0)),0)=1,ROUND($I234*Parámetros!$B$16,0),0))</f>
        <v/>
      </c>
      <c r="M234" s="25">
        <f>IF($G234="","",$I234+$J234)</f>
        <v/>
      </c>
      <c r="N234" s="25">
        <f>IF($G234="","",$M234-$L234)</f>
        <v/>
      </c>
      <c r="O234" s="38" t="n"/>
      <c r="P234" s="38" t="n"/>
      <c r="Q234" s="37" t="n"/>
      <c r="R234" s="38" t="n"/>
      <c r="S234" s="40">
        <f>IF($A234="","",YEAR($A234))</f>
        <v/>
      </c>
      <c r="T234" s="40">
        <f>IF($A234="","",MONTH($A234))</f>
        <v/>
      </c>
      <c r="U234" s="40">
        <f>IF($Q234="","",YEAR($Q234))</f>
        <v/>
      </c>
      <c r="V234" s="40">
        <f>IF($Q234="","",MONTH($Q234))</f>
        <v/>
      </c>
    </row>
    <row r="235">
      <c r="A235" s="37" t="n"/>
      <c r="B235" s="38" t="n"/>
      <c r="C235" s="38" t="n"/>
      <c r="D235" s="38" t="n"/>
      <c r="E235" s="38" t="n"/>
      <c r="F235" s="38" t="n"/>
      <c r="G235" s="39" t="n"/>
      <c r="H235" s="38" t="n"/>
      <c r="I235" s="25">
        <f>IF($G235="","",IF(AND($H235="Sí",IFERROR(INDEX(Parámetros!$B$54:$B$60,MATCH($C235,Parámetros!$A$54:$A$60,0)),0)=1),ROUND($G235/(1+Parámetros!$B$13),0),$G235))</f>
        <v/>
      </c>
      <c r="J235" s="25">
        <f>IF($G235="","",IF(IFERROR(INDEX(Parámetros!$B$54:$B$60,MATCH($C235,Parámetros!$A$54:$A$60,0)),0)=1,ROUND($I235*Parámetros!$B$13,0),0))</f>
        <v/>
      </c>
      <c r="K235" s="25">
        <f>IF($G235="","",IF(IFERROR(INDEX(Parámetros!$C$54:$C$60,MATCH($C235,Parámetros!$A$54:$A$60,0)),0)=1,$J235,0))</f>
        <v/>
      </c>
      <c r="L235" s="25">
        <f>IF($G235="","",IF(IFERROR(INDEX(Parámetros!$D$54:$D$60,MATCH($C235,Parámetros!$A$54:$A$60,0)),0)=1,ROUND($I235*Parámetros!$B$16,0),0))</f>
        <v/>
      </c>
      <c r="M235" s="25">
        <f>IF($G235="","",$I235+$J235)</f>
        <v/>
      </c>
      <c r="N235" s="25">
        <f>IF($G235="","",$M235-$L235)</f>
        <v/>
      </c>
      <c r="O235" s="38" t="n"/>
      <c r="P235" s="38" t="n"/>
      <c r="Q235" s="37" t="n"/>
      <c r="R235" s="38" t="n"/>
      <c r="S235" s="40">
        <f>IF($A235="","",YEAR($A235))</f>
        <v/>
      </c>
      <c r="T235" s="40">
        <f>IF($A235="","",MONTH($A235))</f>
        <v/>
      </c>
      <c r="U235" s="40">
        <f>IF($Q235="","",YEAR($Q235))</f>
        <v/>
      </c>
      <c r="V235" s="40">
        <f>IF($Q235="","",MONTH($Q235))</f>
        <v/>
      </c>
    </row>
    <row r="236">
      <c r="A236" s="37" t="n"/>
      <c r="B236" s="38" t="n"/>
      <c r="C236" s="38" t="n"/>
      <c r="D236" s="38" t="n"/>
      <c r="E236" s="38" t="n"/>
      <c r="F236" s="38" t="n"/>
      <c r="G236" s="39" t="n"/>
      <c r="H236" s="38" t="n"/>
      <c r="I236" s="25">
        <f>IF($G236="","",IF(AND($H236="Sí",IFERROR(INDEX(Parámetros!$B$54:$B$60,MATCH($C236,Parámetros!$A$54:$A$60,0)),0)=1),ROUND($G236/(1+Parámetros!$B$13),0),$G236))</f>
        <v/>
      </c>
      <c r="J236" s="25">
        <f>IF($G236="","",IF(IFERROR(INDEX(Parámetros!$B$54:$B$60,MATCH($C236,Parámetros!$A$54:$A$60,0)),0)=1,ROUND($I236*Parámetros!$B$13,0),0))</f>
        <v/>
      </c>
      <c r="K236" s="25">
        <f>IF($G236="","",IF(IFERROR(INDEX(Parámetros!$C$54:$C$60,MATCH($C236,Parámetros!$A$54:$A$60,0)),0)=1,$J236,0))</f>
        <v/>
      </c>
      <c r="L236" s="25">
        <f>IF($G236="","",IF(IFERROR(INDEX(Parámetros!$D$54:$D$60,MATCH($C236,Parámetros!$A$54:$A$60,0)),0)=1,ROUND($I236*Parámetros!$B$16,0),0))</f>
        <v/>
      </c>
      <c r="M236" s="25">
        <f>IF($G236="","",$I236+$J236)</f>
        <v/>
      </c>
      <c r="N236" s="25">
        <f>IF($G236="","",$M236-$L236)</f>
        <v/>
      </c>
      <c r="O236" s="38" t="n"/>
      <c r="P236" s="38" t="n"/>
      <c r="Q236" s="37" t="n"/>
      <c r="R236" s="38" t="n"/>
      <c r="S236" s="40">
        <f>IF($A236="","",YEAR($A236))</f>
        <v/>
      </c>
      <c r="T236" s="40">
        <f>IF($A236="","",MONTH($A236))</f>
        <v/>
      </c>
      <c r="U236" s="40">
        <f>IF($Q236="","",YEAR($Q236))</f>
        <v/>
      </c>
      <c r="V236" s="40">
        <f>IF($Q236="","",MONTH($Q236))</f>
        <v/>
      </c>
    </row>
    <row r="237">
      <c r="A237" s="37" t="n"/>
      <c r="B237" s="38" t="n"/>
      <c r="C237" s="38" t="n"/>
      <c r="D237" s="38" t="n"/>
      <c r="E237" s="38" t="n"/>
      <c r="F237" s="38" t="n"/>
      <c r="G237" s="39" t="n"/>
      <c r="H237" s="38" t="n"/>
      <c r="I237" s="25">
        <f>IF($G237="","",IF(AND($H237="Sí",IFERROR(INDEX(Parámetros!$B$54:$B$60,MATCH($C237,Parámetros!$A$54:$A$60,0)),0)=1),ROUND($G237/(1+Parámetros!$B$13),0),$G237))</f>
        <v/>
      </c>
      <c r="J237" s="25">
        <f>IF($G237="","",IF(IFERROR(INDEX(Parámetros!$B$54:$B$60,MATCH($C237,Parámetros!$A$54:$A$60,0)),0)=1,ROUND($I237*Parámetros!$B$13,0),0))</f>
        <v/>
      </c>
      <c r="K237" s="25">
        <f>IF($G237="","",IF(IFERROR(INDEX(Parámetros!$C$54:$C$60,MATCH($C237,Parámetros!$A$54:$A$60,0)),0)=1,$J237,0))</f>
        <v/>
      </c>
      <c r="L237" s="25">
        <f>IF($G237="","",IF(IFERROR(INDEX(Parámetros!$D$54:$D$60,MATCH($C237,Parámetros!$A$54:$A$60,0)),0)=1,ROUND($I237*Parámetros!$B$16,0),0))</f>
        <v/>
      </c>
      <c r="M237" s="25">
        <f>IF($G237="","",$I237+$J237)</f>
        <v/>
      </c>
      <c r="N237" s="25">
        <f>IF($G237="","",$M237-$L237)</f>
        <v/>
      </c>
      <c r="O237" s="38" t="n"/>
      <c r="P237" s="38" t="n"/>
      <c r="Q237" s="37" t="n"/>
      <c r="R237" s="38" t="n"/>
      <c r="S237" s="40">
        <f>IF($A237="","",YEAR($A237))</f>
        <v/>
      </c>
      <c r="T237" s="40">
        <f>IF($A237="","",MONTH($A237))</f>
        <v/>
      </c>
      <c r="U237" s="40">
        <f>IF($Q237="","",YEAR($Q237))</f>
        <v/>
      </c>
      <c r="V237" s="40">
        <f>IF($Q237="","",MONTH($Q237))</f>
        <v/>
      </c>
    </row>
    <row r="238">
      <c r="A238" s="37" t="n"/>
      <c r="B238" s="38" t="n"/>
      <c r="C238" s="38" t="n"/>
      <c r="D238" s="38" t="n"/>
      <c r="E238" s="38" t="n"/>
      <c r="F238" s="38" t="n"/>
      <c r="G238" s="39" t="n"/>
      <c r="H238" s="38" t="n"/>
      <c r="I238" s="25">
        <f>IF($G238="","",IF(AND($H238="Sí",IFERROR(INDEX(Parámetros!$B$54:$B$60,MATCH($C238,Parámetros!$A$54:$A$60,0)),0)=1),ROUND($G238/(1+Parámetros!$B$13),0),$G238))</f>
        <v/>
      </c>
      <c r="J238" s="25">
        <f>IF($G238="","",IF(IFERROR(INDEX(Parámetros!$B$54:$B$60,MATCH($C238,Parámetros!$A$54:$A$60,0)),0)=1,ROUND($I238*Parámetros!$B$13,0),0))</f>
        <v/>
      </c>
      <c r="K238" s="25">
        <f>IF($G238="","",IF(IFERROR(INDEX(Parámetros!$C$54:$C$60,MATCH($C238,Parámetros!$A$54:$A$60,0)),0)=1,$J238,0))</f>
        <v/>
      </c>
      <c r="L238" s="25">
        <f>IF($G238="","",IF(IFERROR(INDEX(Parámetros!$D$54:$D$60,MATCH($C238,Parámetros!$A$54:$A$60,0)),0)=1,ROUND($I238*Parámetros!$B$16,0),0))</f>
        <v/>
      </c>
      <c r="M238" s="25">
        <f>IF($G238="","",$I238+$J238)</f>
        <v/>
      </c>
      <c r="N238" s="25">
        <f>IF($G238="","",$M238-$L238)</f>
        <v/>
      </c>
      <c r="O238" s="38" t="n"/>
      <c r="P238" s="38" t="n"/>
      <c r="Q238" s="37" t="n"/>
      <c r="R238" s="38" t="n"/>
      <c r="S238" s="40">
        <f>IF($A238="","",YEAR($A238))</f>
        <v/>
      </c>
      <c r="T238" s="40">
        <f>IF($A238="","",MONTH($A238))</f>
        <v/>
      </c>
      <c r="U238" s="40">
        <f>IF($Q238="","",YEAR($Q238))</f>
        <v/>
      </c>
      <c r="V238" s="40">
        <f>IF($Q238="","",MONTH($Q238))</f>
        <v/>
      </c>
    </row>
    <row r="239">
      <c r="A239" s="37" t="n"/>
      <c r="B239" s="38" t="n"/>
      <c r="C239" s="38" t="n"/>
      <c r="D239" s="38" t="n"/>
      <c r="E239" s="38" t="n"/>
      <c r="F239" s="38" t="n"/>
      <c r="G239" s="39" t="n"/>
      <c r="H239" s="38" t="n"/>
      <c r="I239" s="25">
        <f>IF($G239="","",IF(AND($H239="Sí",IFERROR(INDEX(Parámetros!$B$54:$B$60,MATCH($C239,Parámetros!$A$54:$A$60,0)),0)=1),ROUND($G239/(1+Parámetros!$B$13),0),$G239))</f>
        <v/>
      </c>
      <c r="J239" s="25">
        <f>IF($G239="","",IF(IFERROR(INDEX(Parámetros!$B$54:$B$60,MATCH($C239,Parámetros!$A$54:$A$60,0)),0)=1,ROUND($I239*Parámetros!$B$13,0),0))</f>
        <v/>
      </c>
      <c r="K239" s="25">
        <f>IF($G239="","",IF(IFERROR(INDEX(Parámetros!$C$54:$C$60,MATCH($C239,Parámetros!$A$54:$A$60,0)),0)=1,$J239,0))</f>
        <v/>
      </c>
      <c r="L239" s="25">
        <f>IF($G239="","",IF(IFERROR(INDEX(Parámetros!$D$54:$D$60,MATCH($C239,Parámetros!$A$54:$A$60,0)),0)=1,ROUND($I239*Parámetros!$B$16,0),0))</f>
        <v/>
      </c>
      <c r="M239" s="25">
        <f>IF($G239="","",$I239+$J239)</f>
        <v/>
      </c>
      <c r="N239" s="25">
        <f>IF($G239="","",$M239-$L239)</f>
        <v/>
      </c>
      <c r="O239" s="38" t="n"/>
      <c r="P239" s="38" t="n"/>
      <c r="Q239" s="37" t="n"/>
      <c r="R239" s="38" t="n"/>
      <c r="S239" s="40">
        <f>IF($A239="","",YEAR($A239))</f>
        <v/>
      </c>
      <c r="T239" s="40">
        <f>IF($A239="","",MONTH($A239))</f>
        <v/>
      </c>
      <c r="U239" s="40">
        <f>IF($Q239="","",YEAR($Q239))</f>
        <v/>
      </c>
      <c r="V239" s="40">
        <f>IF($Q239="","",MONTH($Q239))</f>
        <v/>
      </c>
    </row>
    <row r="240">
      <c r="A240" s="37" t="n"/>
      <c r="B240" s="38" t="n"/>
      <c r="C240" s="38" t="n"/>
      <c r="D240" s="38" t="n"/>
      <c r="E240" s="38" t="n"/>
      <c r="F240" s="38" t="n"/>
      <c r="G240" s="39" t="n"/>
      <c r="H240" s="38" t="n"/>
      <c r="I240" s="25">
        <f>IF($G240="","",IF(AND($H240="Sí",IFERROR(INDEX(Parámetros!$B$54:$B$60,MATCH($C240,Parámetros!$A$54:$A$60,0)),0)=1),ROUND($G240/(1+Parámetros!$B$13),0),$G240))</f>
        <v/>
      </c>
      <c r="J240" s="25">
        <f>IF($G240="","",IF(IFERROR(INDEX(Parámetros!$B$54:$B$60,MATCH($C240,Parámetros!$A$54:$A$60,0)),0)=1,ROUND($I240*Parámetros!$B$13,0),0))</f>
        <v/>
      </c>
      <c r="K240" s="25">
        <f>IF($G240="","",IF(IFERROR(INDEX(Parámetros!$C$54:$C$60,MATCH($C240,Parámetros!$A$54:$A$60,0)),0)=1,$J240,0))</f>
        <v/>
      </c>
      <c r="L240" s="25">
        <f>IF($G240="","",IF(IFERROR(INDEX(Parámetros!$D$54:$D$60,MATCH($C240,Parámetros!$A$54:$A$60,0)),0)=1,ROUND($I240*Parámetros!$B$16,0),0))</f>
        <v/>
      </c>
      <c r="M240" s="25">
        <f>IF($G240="","",$I240+$J240)</f>
        <v/>
      </c>
      <c r="N240" s="25">
        <f>IF($G240="","",$M240-$L240)</f>
        <v/>
      </c>
      <c r="O240" s="38" t="n"/>
      <c r="P240" s="38" t="n"/>
      <c r="Q240" s="37" t="n"/>
      <c r="R240" s="38" t="n"/>
      <c r="S240" s="40">
        <f>IF($A240="","",YEAR($A240))</f>
        <v/>
      </c>
      <c r="T240" s="40">
        <f>IF($A240="","",MONTH($A240))</f>
        <v/>
      </c>
      <c r="U240" s="40">
        <f>IF($Q240="","",YEAR($Q240))</f>
        <v/>
      </c>
      <c r="V240" s="40">
        <f>IF($Q240="","",MONTH($Q240))</f>
        <v/>
      </c>
    </row>
    <row r="241">
      <c r="A241" s="37" t="n"/>
      <c r="B241" s="38" t="n"/>
      <c r="C241" s="38" t="n"/>
      <c r="D241" s="38" t="n"/>
      <c r="E241" s="38" t="n"/>
      <c r="F241" s="38" t="n"/>
      <c r="G241" s="39" t="n"/>
      <c r="H241" s="38" t="n"/>
      <c r="I241" s="25">
        <f>IF($G241="","",IF(AND($H241="Sí",IFERROR(INDEX(Parámetros!$B$54:$B$60,MATCH($C241,Parámetros!$A$54:$A$60,0)),0)=1),ROUND($G241/(1+Parámetros!$B$13),0),$G241))</f>
        <v/>
      </c>
      <c r="J241" s="25">
        <f>IF($G241="","",IF(IFERROR(INDEX(Parámetros!$B$54:$B$60,MATCH($C241,Parámetros!$A$54:$A$60,0)),0)=1,ROUND($I241*Parámetros!$B$13,0),0))</f>
        <v/>
      </c>
      <c r="K241" s="25">
        <f>IF($G241="","",IF(IFERROR(INDEX(Parámetros!$C$54:$C$60,MATCH($C241,Parámetros!$A$54:$A$60,0)),0)=1,$J241,0))</f>
        <v/>
      </c>
      <c r="L241" s="25">
        <f>IF($G241="","",IF(IFERROR(INDEX(Parámetros!$D$54:$D$60,MATCH($C241,Parámetros!$A$54:$A$60,0)),0)=1,ROUND($I241*Parámetros!$B$16,0),0))</f>
        <v/>
      </c>
      <c r="M241" s="25">
        <f>IF($G241="","",$I241+$J241)</f>
        <v/>
      </c>
      <c r="N241" s="25">
        <f>IF($G241="","",$M241-$L241)</f>
        <v/>
      </c>
      <c r="O241" s="38" t="n"/>
      <c r="P241" s="38" t="n"/>
      <c r="Q241" s="37" t="n"/>
      <c r="R241" s="38" t="n"/>
      <c r="S241" s="40">
        <f>IF($A241="","",YEAR($A241))</f>
        <v/>
      </c>
      <c r="T241" s="40">
        <f>IF($A241="","",MONTH($A241))</f>
        <v/>
      </c>
      <c r="U241" s="40">
        <f>IF($Q241="","",YEAR($Q241))</f>
        <v/>
      </c>
      <c r="V241" s="40">
        <f>IF($Q241="","",MONTH($Q241))</f>
        <v/>
      </c>
    </row>
    <row r="242">
      <c r="A242" s="37" t="n"/>
      <c r="B242" s="38" t="n"/>
      <c r="C242" s="38" t="n"/>
      <c r="D242" s="38" t="n"/>
      <c r="E242" s="38" t="n"/>
      <c r="F242" s="38" t="n"/>
      <c r="G242" s="39" t="n"/>
      <c r="H242" s="38" t="n"/>
      <c r="I242" s="25">
        <f>IF($G242="","",IF(AND($H242="Sí",IFERROR(INDEX(Parámetros!$B$54:$B$60,MATCH($C242,Parámetros!$A$54:$A$60,0)),0)=1),ROUND($G242/(1+Parámetros!$B$13),0),$G242))</f>
        <v/>
      </c>
      <c r="J242" s="25">
        <f>IF($G242="","",IF(IFERROR(INDEX(Parámetros!$B$54:$B$60,MATCH($C242,Parámetros!$A$54:$A$60,0)),0)=1,ROUND($I242*Parámetros!$B$13,0),0))</f>
        <v/>
      </c>
      <c r="K242" s="25">
        <f>IF($G242="","",IF(IFERROR(INDEX(Parámetros!$C$54:$C$60,MATCH($C242,Parámetros!$A$54:$A$60,0)),0)=1,$J242,0))</f>
        <v/>
      </c>
      <c r="L242" s="25">
        <f>IF($G242="","",IF(IFERROR(INDEX(Parámetros!$D$54:$D$60,MATCH($C242,Parámetros!$A$54:$A$60,0)),0)=1,ROUND($I242*Parámetros!$B$16,0),0))</f>
        <v/>
      </c>
      <c r="M242" s="25">
        <f>IF($G242="","",$I242+$J242)</f>
        <v/>
      </c>
      <c r="N242" s="25">
        <f>IF($G242="","",$M242-$L242)</f>
        <v/>
      </c>
      <c r="O242" s="38" t="n"/>
      <c r="P242" s="38" t="n"/>
      <c r="Q242" s="37" t="n"/>
      <c r="R242" s="38" t="n"/>
      <c r="S242" s="40">
        <f>IF($A242="","",YEAR($A242))</f>
        <v/>
      </c>
      <c r="T242" s="40">
        <f>IF($A242="","",MONTH($A242))</f>
        <v/>
      </c>
      <c r="U242" s="40">
        <f>IF($Q242="","",YEAR($Q242))</f>
        <v/>
      </c>
      <c r="V242" s="40">
        <f>IF($Q242="","",MONTH($Q242))</f>
        <v/>
      </c>
    </row>
    <row r="243">
      <c r="A243" s="37" t="n"/>
      <c r="B243" s="38" t="n"/>
      <c r="C243" s="38" t="n"/>
      <c r="D243" s="38" t="n"/>
      <c r="E243" s="38" t="n"/>
      <c r="F243" s="38" t="n"/>
      <c r="G243" s="39" t="n"/>
      <c r="H243" s="38" t="n"/>
      <c r="I243" s="25">
        <f>IF($G243="","",IF(AND($H243="Sí",IFERROR(INDEX(Parámetros!$B$54:$B$60,MATCH($C243,Parámetros!$A$54:$A$60,0)),0)=1),ROUND($G243/(1+Parámetros!$B$13),0),$G243))</f>
        <v/>
      </c>
      <c r="J243" s="25">
        <f>IF($G243="","",IF(IFERROR(INDEX(Parámetros!$B$54:$B$60,MATCH($C243,Parámetros!$A$54:$A$60,0)),0)=1,ROUND($I243*Parámetros!$B$13,0),0))</f>
        <v/>
      </c>
      <c r="K243" s="25">
        <f>IF($G243="","",IF(IFERROR(INDEX(Parámetros!$C$54:$C$60,MATCH($C243,Parámetros!$A$54:$A$60,0)),0)=1,$J243,0))</f>
        <v/>
      </c>
      <c r="L243" s="25">
        <f>IF($G243="","",IF(IFERROR(INDEX(Parámetros!$D$54:$D$60,MATCH($C243,Parámetros!$A$54:$A$60,0)),0)=1,ROUND($I243*Parámetros!$B$16,0),0))</f>
        <v/>
      </c>
      <c r="M243" s="25">
        <f>IF($G243="","",$I243+$J243)</f>
        <v/>
      </c>
      <c r="N243" s="25">
        <f>IF($G243="","",$M243-$L243)</f>
        <v/>
      </c>
      <c r="O243" s="38" t="n"/>
      <c r="P243" s="38" t="n"/>
      <c r="Q243" s="37" t="n"/>
      <c r="R243" s="38" t="n"/>
      <c r="S243" s="40">
        <f>IF($A243="","",YEAR($A243))</f>
        <v/>
      </c>
      <c r="T243" s="40">
        <f>IF($A243="","",MONTH($A243))</f>
        <v/>
      </c>
      <c r="U243" s="40">
        <f>IF($Q243="","",YEAR($Q243))</f>
        <v/>
      </c>
      <c r="V243" s="40">
        <f>IF($Q243="","",MONTH($Q243))</f>
        <v/>
      </c>
    </row>
    <row r="244">
      <c r="A244" s="37" t="n"/>
      <c r="B244" s="38" t="n"/>
      <c r="C244" s="38" t="n"/>
      <c r="D244" s="38" t="n"/>
      <c r="E244" s="38" t="n"/>
      <c r="F244" s="38" t="n"/>
      <c r="G244" s="39" t="n"/>
      <c r="H244" s="38" t="n"/>
      <c r="I244" s="25">
        <f>IF($G244="","",IF(AND($H244="Sí",IFERROR(INDEX(Parámetros!$B$54:$B$60,MATCH($C244,Parámetros!$A$54:$A$60,0)),0)=1),ROUND($G244/(1+Parámetros!$B$13),0),$G244))</f>
        <v/>
      </c>
      <c r="J244" s="25">
        <f>IF($G244="","",IF(IFERROR(INDEX(Parámetros!$B$54:$B$60,MATCH($C244,Parámetros!$A$54:$A$60,0)),0)=1,ROUND($I244*Parámetros!$B$13,0),0))</f>
        <v/>
      </c>
      <c r="K244" s="25">
        <f>IF($G244="","",IF(IFERROR(INDEX(Parámetros!$C$54:$C$60,MATCH($C244,Parámetros!$A$54:$A$60,0)),0)=1,$J244,0))</f>
        <v/>
      </c>
      <c r="L244" s="25">
        <f>IF($G244="","",IF(IFERROR(INDEX(Parámetros!$D$54:$D$60,MATCH($C244,Parámetros!$A$54:$A$60,0)),0)=1,ROUND($I244*Parámetros!$B$16,0),0))</f>
        <v/>
      </c>
      <c r="M244" s="25">
        <f>IF($G244="","",$I244+$J244)</f>
        <v/>
      </c>
      <c r="N244" s="25">
        <f>IF($G244="","",$M244-$L244)</f>
        <v/>
      </c>
      <c r="O244" s="38" t="n"/>
      <c r="P244" s="38" t="n"/>
      <c r="Q244" s="37" t="n"/>
      <c r="R244" s="38" t="n"/>
      <c r="S244" s="40">
        <f>IF($A244="","",YEAR($A244))</f>
        <v/>
      </c>
      <c r="T244" s="40">
        <f>IF($A244="","",MONTH($A244))</f>
        <v/>
      </c>
      <c r="U244" s="40">
        <f>IF($Q244="","",YEAR($Q244))</f>
        <v/>
      </c>
      <c r="V244" s="40">
        <f>IF($Q244="","",MONTH($Q244))</f>
        <v/>
      </c>
    </row>
    <row r="245">
      <c r="A245" s="37" t="n"/>
      <c r="B245" s="38" t="n"/>
      <c r="C245" s="38" t="n"/>
      <c r="D245" s="38" t="n"/>
      <c r="E245" s="38" t="n"/>
      <c r="F245" s="38" t="n"/>
      <c r="G245" s="39" t="n"/>
      <c r="H245" s="38" t="n"/>
      <c r="I245" s="25">
        <f>IF($G245="","",IF(AND($H245="Sí",IFERROR(INDEX(Parámetros!$B$54:$B$60,MATCH($C245,Parámetros!$A$54:$A$60,0)),0)=1),ROUND($G245/(1+Parámetros!$B$13),0),$G245))</f>
        <v/>
      </c>
      <c r="J245" s="25">
        <f>IF($G245="","",IF(IFERROR(INDEX(Parámetros!$B$54:$B$60,MATCH($C245,Parámetros!$A$54:$A$60,0)),0)=1,ROUND($I245*Parámetros!$B$13,0),0))</f>
        <v/>
      </c>
      <c r="K245" s="25">
        <f>IF($G245="","",IF(IFERROR(INDEX(Parámetros!$C$54:$C$60,MATCH($C245,Parámetros!$A$54:$A$60,0)),0)=1,$J245,0))</f>
        <v/>
      </c>
      <c r="L245" s="25">
        <f>IF($G245="","",IF(IFERROR(INDEX(Parámetros!$D$54:$D$60,MATCH($C245,Parámetros!$A$54:$A$60,0)),0)=1,ROUND($I245*Parámetros!$B$16,0),0))</f>
        <v/>
      </c>
      <c r="M245" s="25">
        <f>IF($G245="","",$I245+$J245)</f>
        <v/>
      </c>
      <c r="N245" s="25">
        <f>IF($G245="","",$M245-$L245)</f>
        <v/>
      </c>
      <c r="O245" s="38" t="n"/>
      <c r="P245" s="38" t="n"/>
      <c r="Q245" s="37" t="n"/>
      <c r="R245" s="38" t="n"/>
      <c r="S245" s="40">
        <f>IF($A245="","",YEAR($A245))</f>
        <v/>
      </c>
      <c r="T245" s="40">
        <f>IF($A245="","",MONTH($A245))</f>
        <v/>
      </c>
      <c r="U245" s="40">
        <f>IF($Q245="","",YEAR($Q245))</f>
        <v/>
      </c>
      <c r="V245" s="40">
        <f>IF($Q245="","",MONTH($Q245))</f>
        <v/>
      </c>
    </row>
    <row r="246">
      <c r="A246" s="37" t="n"/>
      <c r="B246" s="38" t="n"/>
      <c r="C246" s="38" t="n"/>
      <c r="D246" s="38" t="n"/>
      <c r="E246" s="38" t="n"/>
      <c r="F246" s="38" t="n"/>
      <c r="G246" s="39" t="n"/>
      <c r="H246" s="38" t="n"/>
      <c r="I246" s="25">
        <f>IF($G246="","",IF(AND($H246="Sí",IFERROR(INDEX(Parámetros!$B$54:$B$60,MATCH($C246,Parámetros!$A$54:$A$60,0)),0)=1),ROUND($G246/(1+Parámetros!$B$13),0),$G246))</f>
        <v/>
      </c>
      <c r="J246" s="25">
        <f>IF($G246="","",IF(IFERROR(INDEX(Parámetros!$B$54:$B$60,MATCH($C246,Parámetros!$A$54:$A$60,0)),0)=1,ROUND($I246*Parámetros!$B$13,0),0))</f>
        <v/>
      </c>
      <c r="K246" s="25">
        <f>IF($G246="","",IF(IFERROR(INDEX(Parámetros!$C$54:$C$60,MATCH($C246,Parámetros!$A$54:$A$60,0)),0)=1,$J246,0))</f>
        <v/>
      </c>
      <c r="L246" s="25">
        <f>IF($G246="","",IF(IFERROR(INDEX(Parámetros!$D$54:$D$60,MATCH($C246,Parámetros!$A$54:$A$60,0)),0)=1,ROUND($I246*Parámetros!$B$16,0),0))</f>
        <v/>
      </c>
      <c r="M246" s="25">
        <f>IF($G246="","",$I246+$J246)</f>
        <v/>
      </c>
      <c r="N246" s="25">
        <f>IF($G246="","",$M246-$L246)</f>
        <v/>
      </c>
      <c r="O246" s="38" t="n"/>
      <c r="P246" s="38" t="n"/>
      <c r="Q246" s="37" t="n"/>
      <c r="R246" s="38" t="n"/>
      <c r="S246" s="40">
        <f>IF($A246="","",YEAR($A246))</f>
        <v/>
      </c>
      <c r="T246" s="40">
        <f>IF($A246="","",MONTH($A246))</f>
        <v/>
      </c>
      <c r="U246" s="40">
        <f>IF($Q246="","",YEAR($Q246))</f>
        <v/>
      </c>
      <c r="V246" s="40">
        <f>IF($Q246="","",MONTH($Q246))</f>
        <v/>
      </c>
    </row>
    <row r="247">
      <c r="A247" s="37" t="n"/>
      <c r="B247" s="38" t="n"/>
      <c r="C247" s="38" t="n"/>
      <c r="D247" s="38" t="n"/>
      <c r="E247" s="38" t="n"/>
      <c r="F247" s="38" t="n"/>
      <c r="G247" s="39" t="n"/>
      <c r="H247" s="38" t="n"/>
      <c r="I247" s="25">
        <f>IF($G247="","",IF(AND($H247="Sí",IFERROR(INDEX(Parámetros!$B$54:$B$60,MATCH($C247,Parámetros!$A$54:$A$60,0)),0)=1),ROUND($G247/(1+Parámetros!$B$13),0),$G247))</f>
        <v/>
      </c>
      <c r="J247" s="25">
        <f>IF($G247="","",IF(IFERROR(INDEX(Parámetros!$B$54:$B$60,MATCH($C247,Parámetros!$A$54:$A$60,0)),0)=1,ROUND($I247*Parámetros!$B$13,0),0))</f>
        <v/>
      </c>
      <c r="K247" s="25">
        <f>IF($G247="","",IF(IFERROR(INDEX(Parámetros!$C$54:$C$60,MATCH($C247,Parámetros!$A$54:$A$60,0)),0)=1,$J247,0))</f>
        <v/>
      </c>
      <c r="L247" s="25">
        <f>IF($G247="","",IF(IFERROR(INDEX(Parámetros!$D$54:$D$60,MATCH($C247,Parámetros!$A$54:$A$60,0)),0)=1,ROUND($I247*Parámetros!$B$16,0),0))</f>
        <v/>
      </c>
      <c r="M247" s="25">
        <f>IF($G247="","",$I247+$J247)</f>
        <v/>
      </c>
      <c r="N247" s="25">
        <f>IF($G247="","",$M247-$L247)</f>
        <v/>
      </c>
      <c r="O247" s="38" t="n"/>
      <c r="P247" s="38" t="n"/>
      <c r="Q247" s="37" t="n"/>
      <c r="R247" s="38" t="n"/>
      <c r="S247" s="40">
        <f>IF($A247="","",YEAR($A247))</f>
        <v/>
      </c>
      <c r="T247" s="40">
        <f>IF($A247="","",MONTH($A247))</f>
        <v/>
      </c>
      <c r="U247" s="40">
        <f>IF($Q247="","",YEAR($Q247))</f>
        <v/>
      </c>
      <c r="V247" s="40">
        <f>IF($Q247="","",MONTH($Q247))</f>
        <v/>
      </c>
    </row>
    <row r="248">
      <c r="A248" s="37" t="n"/>
      <c r="B248" s="38" t="n"/>
      <c r="C248" s="38" t="n"/>
      <c r="D248" s="38" t="n"/>
      <c r="E248" s="38" t="n"/>
      <c r="F248" s="38" t="n"/>
      <c r="G248" s="39" t="n"/>
      <c r="H248" s="38" t="n"/>
      <c r="I248" s="25">
        <f>IF($G248="","",IF(AND($H248="Sí",IFERROR(INDEX(Parámetros!$B$54:$B$60,MATCH($C248,Parámetros!$A$54:$A$60,0)),0)=1),ROUND($G248/(1+Parámetros!$B$13),0),$G248))</f>
        <v/>
      </c>
      <c r="J248" s="25">
        <f>IF($G248="","",IF(IFERROR(INDEX(Parámetros!$B$54:$B$60,MATCH($C248,Parámetros!$A$54:$A$60,0)),0)=1,ROUND($I248*Parámetros!$B$13,0),0))</f>
        <v/>
      </c>
      <c r="K248" s="25">
        <f>IF($G248="","",IF(IFERROR(INDEX(Parámetros!$C$54:$C$60,MATCH($C248,Parámetros!$A$54:$A$60,0)),0)=1,$J248,0))</f>
        <v/>
      </c>
      <c r="L248" s="25">
        <f>IF($G248="","",IF(IFERROR(INDEX(Parámetros!$D$54:$D$60,MATCH($C248,Parámetros!$A$54:$A$60,0)),0)=1,ROUND($I248*Parámetros!$B$16,0),0))</f>
        <v/>
      </c>
      <c r="M248" s="25">
        <f>IF($G248="","",$I248+$J248)</f>
        <v/>
      </c>
      <c r="N248" s="25">
        <f>IF($G248="","",$M248-$L248)</f>
        <v/>
      </c>
      <c r="O248" s="38" t="n"/>
      <c r="P248" s="38" t="n"/>
      <c r="Q248" s="37" t="n"/>
      <c r="R248" s="38" t="n"/>
      <c r="S248" s="40">
        <f>IF($A248="","",YEAR($A248))</f>
        <v/>
      </c>
      <c r="T248" s="40">
        <f>IF($A248="","",MONTH($A248))</f>
        <v/>
      </c>
      <c r="U248" s="40">
        <f>IF($Q248="","",YEAR($Q248))</f>
        <v/>
      </c>
      <c r="V248" s="40">
        <f>IF($Q248="","",MONTH($Q248))</f>
        <v/>
      </c>
    </row>
    <row r="249">
      <c r="A249" s="37" t="n"/>
      <c r="B249" s="38" t="n"/>
      <c r="C249" s="38" t="n"/>
      <c r="D249" s="38" t="n"/>
      <c r="E249" s="38" t="n"/>
      <c r="F249" s="38" t="n"/>
      <c r="G249" s="39" t="n"/>
      <c r="H249" s="38" t="n"/>
      <c r="I249" s="25">
        <f>IF($G249="","",IF(AND($H249="Sí",IFERROR(INDEX(Parámetros!$B$54:$B$60,MATCH($C249,Parámetros!$A$54:$A$60,0)),0)=1),ROUND($G249/(1+Parámetros!$B$13),0),$G249))</f>
        <v/>
      </c>
      <c r="J249" s="25">
        <f>IF($G249="","",IF(IFERROR(INDEX(Parámetros!$B$54:$B$60,MATCH($C249,Parámetros!$A$54:$A$60,0)),0)=1,ROUND($I249*Parámetros!$B$13,0),0))</f>
        <v/>
      </c>
      <c r="K249" s="25">
        <f>IF($G249="","",IF(IFERROR(INDEX(Parámetros!$C$54:$C$60,MATCH($C249,Parámetros!$A$54:$A$60,0)),0)=1,$J249,0))</f>
        <v/>
      </c>
      <c r="L249" s="25">
        <f>IF($G249="","",IF(IFERROR(INDEX(Parámetros!$D$54:$D$60,MATCH($C249,Parámetros!$A$54:$A$60,0)),0)=1,ROUND($I249*Parámetros!$B$16,0),0))</f>
        <v/>
      </c>
      <c r="M249" s="25">
        <f>IF($G249="","",$I249+$J249)</f>
        <v/>
      </c>
      <c r="N249" s="25">
        <f>IF($G249="","",$M249-$L249)</f>
        <v/>
      </c>
      <c r="O249" s="38" t="n"/>
      <c r="P249" s="38" t="n"/>
      <c r="Q249" s="37" t="n"/>
      <c r="R249" s="38" t="n"/>
      <c r="S249" s="40">
        <f>IF($A249="","",YEAR($A249))</f>
        <v/>
      </c>
      <c r="T249" s="40">
        <f>IF($A249="","",MONTH($A249))</f>
        <v/>
      </c>
      <c r="U249" s="40">
        <f>IF($Q249="","",YEAR($Q249))</f>
        <v/>
      </c>
      <c r="V249" s="40">
        <f>IF($Q249="","",MONTH($Q249))</f>
        <v/>
      </c>
    </row>
    <row r="250">
      <c r="A250" s="37" t="n"/>
      <c r="B250" s="38" t="n"/>
      <c r="C250" s="38" t="n"/>
      <c r="D250" s="38" t="n"/>
      <c r="E250" s="38" t="n"/>
      <c r="F250" s="38" t="n"/>
      <c r="G250" s="39" t="n"/>
      <c r="H250" s="38" t="n"/>
      <c r="I250" s="25">
        <f>IF($G250="","",IF(AND($H250="Sí",IFERROR(INDEX(Parámetros!$B$54:$B$60,MATCH($C250,Parámetros!$A$54:$A$60,0)),0)=1),ROUND($G250/(1+Parámetros!$B$13),0),$G250))</f>
        <v/>
      </c>
      <c r="J250" s="25">
        <f>IF($G250="","",IF(IFERROR(INDEX(Parámetros!$B$54:$B$60,MATCH($C250,Parámetros!$A$54:$A$60,0)),0)=1,ROUND($I250*Parámetros!$B$13,0),0))</f>
        <v/>
      </c>
      <c r="K250" s="25">
        <f>IF($G250="","",IF(IFERROR(INDEX(Parámetros!$C$54:$C$60,MATCH($C250,Parámetros!$A$54:$A$60,0)),0)=1,$J250,0))</f>
        <v/>
      </c>
      <c r="L250" s="25">
        <f>IF($G250="","",IF(IFERROR(INDEX(Parámetros!$D$54:$D$60,MATCH($C250,Parámetros!$A$54:$A$60,0)),0)=1,ROUND($I250*Parámetros!$B$16,0),0))</f>
        <v/>
      </c>
      <c r="M250" s="25">
        <f>IF($G250="","",$I250+$J250)</f>
        <v/>
      </c>
      <c r="N250" s="25">
        <f>IF($G250="","",$M250-$L250)</f>
        <v/>
      </c>
      <c r="O250" s="38" t="n"/>
      <c r="P250" s="38" t="n"/>
      <c r="Q250" s="37" t="n"/>
      <c r="R250" s="38" t="n"/>
      <c r="S250" s="40">
        <f>IF($A250="","",YEAR($A250))</f>
        <v/>
      </c>
      <c r="T250" s="40">
        <f>IF($A250="","",MONTH($A250))</f>
        <v/>
      </c>
      <c r="U250" s="40">
        <f>IF($Q250="","",YEAR($Q250))</f>
        <v/>
      </c>
      <c r="V250" s="40">
        <f>IF($Q250="","",MONTH($Q250))</f>
        <v/>
      </c>
    </row>
    <row r="251">
      <c r="A251" s="37" t="n"/>
      <c r="B251" s="38" t="n"/>
      <c r="C251" s="38" t="n"/>
      <c r="D251" s="38" t="n"/>
      <c r="E251" s="38" t="n"/>
      <c r="F251" s="38" t="n"/>
      <c r="G251" s="39" t="n"/>
      <c r="H251" s="38" t="n"/>
      <c r="I251" s="25">
        <f>IF($G251="","",IF(AND($H251="Sí",IFERROR(INDEX(Parámetros!$B$54:$B$60,MATCH($C251,Parámetros!$A$54:$A$60,0)),0)=1),ROUND($G251/(1+Parámetros!$B$13),0),$G251))</f>
        <v/>
      </c>
      <c r="J251" s="25">
        <f>IF($G251="","",IF(IFERROR(INDEX(Parámetros!$B$54:$B$60,MATCH($C251,Parámetros!$A$54:$A$60,0)),0)=1,ROUND($I251*Parámetros!$B$13,0),0))</f>
        <v/>
      </c>
      <c r="K251" s="25">
        <f>IF($G251="","",IF(IFERROR(INDEX(Parámetros!$C$54:$C$60,MATCH($C251,Parámetros!$A$54:$A$60,0)),0)=1,$J251,0))</f>
        <v/>
      </c>
      <c r="L251" s="25">
        <f>IF($G251="","",IF(IFERROR(INDEX(Parámetros!$D$54:$D$60,MATCH($C251,Parámetros!$A$54:$A$60,0)),0)=1,ROUND($I251*Parámetros!$B$16,0),0))</f>
        <v/>
      </c>
      <c r="M251" s="25">
        <f>IF($G251="","",$I251+$J251)</f>
        <v/>
      </c>
      <c r="N251" s="25">
        <f>IF($G251="","",$M251-$L251)</f>
        <v/>
      </c>
      <c r="O251" s="38" t="n"/>
      <c r="P251" s="38" t="n"/>
      <c r="Q251" s="37" t="n"/>
      <c r="R251" s="38" t="n"/>
      <c r="S251" s="40">
        <f>IF($A251="","",YEAR($A251))</f>
        <v/>
      </c>
      <c r="T251" s="40">
        <f>IF($A251="","",MONTH($A251))</f>
        <v/>
      </c>
      <c r="U251" s="40">
        <f>IF($Q251="","",YEAR($Q251))</f>
        <v/>
      </c>
      <c r="V251" s="40">
        <f>IF($Q251="","",MONTH($Q251))</f>
        <v/>
      </c>
    </row>
    <row r="252">
      <c r="A252" s="37" t="n"/>
      <c r="B252" s="38" t="n"/>
      <c r="C252" s="38" t="n"/>
      <c r="D252" s="38" t="n"/>
      <c r="E252" s="38" t="n"/>
      <c r="F252" s="38" t="n"/>
      <c r="G252" s="39" t="n"/>
      <c r="H252" s="38" t="n"/>
      <c r="I252" s="25">
        <f>IF($G252="","",IF(AND($H252="Sí",IFERROR(INDEX(Parámetros!$B$54:$B$60,MATCH($C252,Parámetros!$A$54:$A$60,0)),0)=1),ROUND($G252/(1+Parámetros!$B$13),0),$G252))</f>
        <v/>
      </c>
      <c r="J252" s="25">
        <f>IF($G252="","",IF(IFERROR(INDEX(Parámetros!$B$54:$B$60,MATCH($C252,Parámetros!$A$54:$A$60,0)),0)=1,ROUND($I252*Parámetros!$B$13,0),0))</f>
        <v/>
      </c>
      <c r="K252" s="25">
        <f>IF($G252="","",IF(IFERROR(INDEX(Parámetros!$C$54:$C$60,MATCH($C252,Parámetros!$A$54:$A$60,0)),0)=1,$J252,0))</f>
        <v/>
      </c>
      <c r="L252" s="25">
        <f>IF($G252="","",IF(IFERROR(INDEX(Parámetros!$D$54:$D$60,MATCH($C252,Parámetros!$A$54:$A$60,0)),0)=1,ROUND($I252*Parámetros!$B$16,0),0))</f>
        <v/>
      </c>
      <c r="M252" s="25">
        <f>IF($G252="","",$I252+$J252)</f>
        <v/>
      </c>
      <c r="N252" s="25">
        <f>IF($G252="","",$M252-$L252)</f>
        <v/>
      </c>
      <c r="O252" s="38" t="n"/>
      <c r="P252" s="38" t="n"/>
      <c r="Q252" s="37" t="n"/>
      <c r="R252" s="38" t="n"/>
      <c r="S252" s="40">
        <f>IF($A252="","",YEAR($A252))</f>
        <v/>
      </c>
      <c r="T252" s="40">
        <f>IF($A252="","",MONTH($A252))</f>
        <v/>
      </c>
      <c r="U252" s="40">
        <f>IF($Q252="","",YEAR($Q252))</f>
        <v/>
      </c>
      <c r="V252" s="40">
        <f>IF($Q252="","",MONTH($Q252))</f>
        <v/>
      </c>
    </row>
    <row r="253">
      <c r="A253" s="37" t="n"/>
      <c r="B253" s="38" t="n"/>
      <c r="C253" s="38" t="n"/>
      <c r="D253" s="38" t="n"/>
      <c r="E253" s="38" t="n"/>
      <c r="F253" s="38" t="n"/>
      <c r="G253" s="39" t="n"/>
      <c r="H253" s="38" t="n"/>
      <c r="I253" s="25">
        <f>IF($G253="","",IF(AND($H253="Sí",IFERROR(INDEX(Parámetros!$B$54:$B$60,MATCH($C253,Parámetros!$A$54:$A$60,0)),0)=1),ROUND($G253/(1+Parámetros!$B$13),0),$G253))</f>
        <v/>
      </c>
      <c r="J253" s="25">
        <f>IF($G253="","",IF(IFERROR(INDEX(Parámetros!$B$54:$B$60,MATCH($C253,Parámetros!$A$54:$A$60,0)),0)=1,ROUND($I253*Parámetros!$B$13,0),0))</f>
        <v/>
      </c>
      <c r="K253" s="25">
        <f>IF($G253="","",IF(IFERROR(INDEX(Parámetros!$C$54:$C$60,MATCH($C253,Parámetros!$A$54:$A$60,0)),0)=1,$J253,0))</f>
        <v/>
      </c>
      <c r="L253" s="25">
        <f>IF($G253="","",IF(IFERROR(INDEX(Parámetros!$D$54:$D$60,MATCH($C253,Parámetros!$A$54:$A$60,0)),0)=1,ROUND($I253*Parámetros!$B$16,0),0))</f>
        <v/>
      </c>
      <c r="M253" s="25">
        <f>IF($G253="","",$I253+$J253)</f>
        <v/>
      </c>
      <c r="N253" s="25">
        <f>IF($G253="","",$M253-$L253)</f>
        <v/>
      </c>
      <c r="O253" s="38" t="n"/>
      <c r="P253" s="38" t="n"/>
      <c r="Q253" s="37" t="n"/>
      <c r="R253" s="38" t="n"/>
      <c r="S253" s="40">
        <f>IF($A253="","",YEAR($A253))</f>
        <v/>
      </c>
      <c r="T253" s="40">
        <f>IF($A253="","",MONTH($A253))</f>
        <v/>
      </c>
      <c r="U253" s="40">
        <f>IF($Q253="","",YEAR($Q253))</f>
        <v/>
      </c>
      <c r="V253" s="40">
        <f>IF($Q253="","",MONTH($Q253))</f>
        <v/>
      </c>
    </row>
    <row r="254">
      <c r="A254" s="37" t="n"/>
      <c r="B254" s="38" t="n"/>
      <c r="C254" s="38" t="n"/>
      <c r="D254" s="38" t="n"/>
      <c r="E254" s="38" t="n"/>
      <c r="F254" s="38" t="n"/>
      <c r="G254" s="39" t="n"/>
      <c r="H254" s="38" t="n"/>
      <c r="I254" s="25">
        <f>IF($G254="","",IF(AND($H254="Sí",IFERROR(INDEX(Parámetros!$B$54:$B$60,MATCH($C254,Parámetros!$A$54:$A$60,0)),0)=1),ROUND($G254/(1+Parámetros!$B$13),0),$G254))</f>
        <v/>
      </c>
      <c r="J254" s="25">
        <f>IF($G254="","",IF(IFERROR(INDEX(Parámetros!$B$54:$B$60,MATCH($C254,Parámetros!$A$54:$A$60,0)),0)=1,ROUND($I254*Parámetros!$B$13,0),0))</f>
        <v/>
      </c>
      <c r="K254" s="25">
        <f>IF($G254="","",IF(IFERROR(INDEX(Parámetros!$C$54:$C$60,MATCH($C254,Parámetros!$A$54:$A$60,0)),0)=1,$J254,0))</f>
        <v/>
      </c>
      <c r="L254" s="25">
        <f>IF($G254="","",IF(IFERROR(INDEX(Parámetros!$D$54:$D$60,MATCH($C254,Parámetros!$A$54:$A$60,0)),0)=1,ROUND($I254*Parámetros!$B$16,0),0))</f>
        <v/>
      </c>
      <c r="M254" s="25">
        <f>IF($G254="","",$I254+$J254)</f>
        <v/>
      </c>
      <c r="N254" s="25">
        <f>IF($G254="","",$M254-$L254)</f>
        <v/>
      </c>
      <c r="O254" s="38" t="n"/>
      <c r="P254" s="38" t="n"/>
      <c r="Q254" s="37" t="n"/>
      <c r="R254" s="38" t="n"/>
      <c r="S254" s="40">
        <f>IF($A254="","",YEAR($A254))</f>
        <v/>
      </c>
      <c r="T254" s="40">
        <f>IF($A254="","",MONTH($A254))</f>
        <v/>
      </c>
      <c r="U254" s="40">
        <f>IF($Q254="","",YEAR($Q254))</f>
        <v/>
      </c>
      <c r="V254" s="40">
        <f>IF($Q254="","",MONTH($Q254))</f>
        <v/>
      </c>
    </row>
    <row r="255">
      <c r="A255" s="37" t="n"/>
      <c r="B255" s="38" t="n"/>
      <c r="C255" s="38" t="n"/>
      <c r="D255" s="38" t="n"/>
      <c r="E255" s="38" t="n"/>
      <c r="F255" s="38" t="n"/>
      <c r="G255" s="39" t="n"/>
      <c r="H255" s="38" t="n"/>
      <c r="I255" s="25">
        <f>IF($G255="","",IF(AND($H255="Sí",IFERROR(INDEX(Parámetros!$B$54:$B$60,MATCH($C255,Parámetros!$A$54:$A$60,0)),0)=1),ROUND($G255/(1+Parámetros!$B$13),0),$G255))</f>
        <v/>
      </c>
      <c r="J255" s="25">
        <f>IF($G255="","",IF(IFERROR(INDEX(Parámetros!$B$54:$B$60,MATCH($C255,Parámetros!$A$54:$A$60,0)),0)=1,ROUND($I255*Parámetros!$B$13,0),0))</f>
        <v/>
      </c>
      <c r="K255" s="25">
        <f>IF($G255="","",IF(IFERROR(INDEX(Parámetros!$C$54:$C$60,MATCH($C255,Parámetros!$A$54:$A$60,0)),0)=1,$J255,0))</f>
        <v/>
      </c>
      <c r="L255" s="25">
        <f>IF($G255="","",IF(IFERROR(INDEX(Parámetros!$D$54:$D$60,MATCH($C255,Parámetros!$A$54:$A$60,0)),0)=1,ROUND($I255*Parámetros!$B$16,0),0))</f>
        <v/>
      </c>
      <c r="M255" s="25">
        <f>IF($G255="","",$I255+$J255)</f>
        <v/>
      </c>
      <c r="N255" s="25">
        <f>IF($G255="","",$M255-$L255)</f>
        <v/>
      </c>
      <c r="O255" s="38" t="n"/>
      <c r="P255" s="38" t="n"/>
      <c r="Q255" s="37" t="n"/>
      <c r="R255" s="38" t="n"/>
      <c r="S255" s="40">
        <f>IF($A255="","",YEAR($A255))</f>
        <v/>
      </c>
      <c r="T255" s="40">
        <f>IF($A255="","",MONTH($A255))</f>
        <v/>
      </c>
      <c r="U255" s="40">
        <f>IF($Q255="","",YEAR($Q255))</f>
        <v/>
      </c>
      <c r="V255" s="40">
        <f>IF($Q255="","",MONTH($Q255))</f>
        <v/>
      </c>
    </row>
    <row r="256">
      <c r="A256" s="37" t="n"/>
      <c r="B256" s="38" t="n"/>
      <c r="C256" s="38" t="n"/>
      <c r="D256" s="38" t="n"/>
      <c r="E256" s="38" t="n"/>
      <c r="F256" s="38" t="n"/>
      <c r="G256" s="39" t="n"/>
      <c r="H256" s="38" t="n"/>
      <c r="I256" s="25">
        <f>IF($G256="","",IF(AND($H256="Sí",IFERROR(INDEX(Parámetros!$B$54:$B$60,MATCH($C256,Parámetros!$A$54:$A$60,0)),0)=1),ROUND($G256/(1+Parámetros!$B$13),0),$G256))</f>
        <v/>
      </c>
      <c r="J256" s="25">
        <f>IF($G256="","",IF(IFERROR(INDEX(Parámetros!$B$54:$B$60,MATCH($C256,Parámetros!$A$54:$A$60,0)),0)=1,ROUND($I256*Parámetros!$B$13,0),0))</f>
        <v/>
      </c>
      <c r="K256" s="25">
        <f>IF($G256="","",IF(IFERROR(INDEX(Parámetros!$C$54:$C$60,MATCH($C256,Parámetros!$A$54:$A$60,0)),0)=1,$J256,0))</f>
        <v/>
      </c>
      <c r="L256" s="25">
        <f>IF($G256="","",IF(IFERROR(INDEX(Parámetros!$D$54:$D$60,MATCH($C256,Parámetros!$A$54:$A$60,0)),0)=1,ROUND($I256*Parámetros!$B$16,0),0))</f>
        <v/>
      </c>
      <c r="M256" s="25">
        <f>IF($G256="","",$I256+$J256)</f>
        <v/>
      </c>
      <c r="N256" s="25">
        <f>IF($G256="","",$M256-$L256)</f>
        <v/>
      </c>
      <c r="O256" s="38" t="n"/>
      <c r="P256" s="38" t="n"/>
      <c r="Q256" s="37" t="n"/>
      <c r="R256" s="38" t="n"/>
      <c r="S256" s="40">
        <f>IF($A256="","",YEAR($A256))</f>
        <v/>
      </c>
      <c r="T256" s="40">
        <f>IF($A256="","",MONTH($A256))</f>
        <v/>
      </c>
      <c r="U256" s="40">
        <f>IF($Q256="","",YEAR($Q256))</f>
        <v/>
      </c>
      <c r="V256" s="40">
        <f>IF($Q256="","",MONTH($Q256))</f>
        <v/>
      </c>
    </row>
    <row r="257">
      <c r="A257" s="37" t="n"/>
      <c r="B257" s="38" t="n"/>
      <c r="C257" s="38" t="n"/>
      <c r="D257" s="38" t="n"/>
      <c r="E257" s="38" t="n"/>
      <c r="F257" s="38" t="n"/>
      <c r="G257" s="39" t="n"/>
      <c r="H257" s="38" t="n"/>
      <c r="I257" s="25">
        <f>IF($G257="","",IF(AND($H257="Sí",IFERROR(INDEX(Parámetros!$B$54:$B$60,MATCH($C257,Parámetros!$A$54:$A$60,0)),0)=1),ROUND($G257/(1+Parámetros!$B$13),0),$G257))</f>
        <v/>
      </c>
      <c r="J257" s="25">
        <f>IF($G257="","",IF(IFERROR(INDEX(Parámetros!$B$54:$B$60,MATCH($C257,Parámetros!$A$54:$A$60,0)),0)=1,ROUND($I257*Parámetros!$B$13,0),0))</f>
        <v/>
      </c>
      <c r="K257" s="25">
        <f>IF($G257="","",IF(IFERROR(INDEX(Parámetros!$C$54:$C$60,MATCH($C257,Parámetros!$A$54:$A$60,0)),0)=1,$J257,0))</f>
        <v/>
      </c>
      <c r="L257" s="25">
        <f>IF($G257="","",IF(IFERROR(INDEX(Parámetros!$D$54:$D$60,MATCH($C257,Parámetros!$A$54:$A$60,0)),0)=1,ROUND($I257*Parámetros!$B$16,0),0))</f>
        <v/>
      </c>
      <c r="M257" s="25">
        <f>IF($G257="","",$I257+$J257)</f>
        <v/>
      </c>
      <c r="N257" s="25">
        <f>IF($G257="","",$M257-$L257)</f>
        <v/>
      </c>
      <c r="O257" s="38" t="n"/>
      <c r="P257" s="38" t="n"/>
      <c r="Q257" s="37" t="n"/>
      <c r="R257" s="38" t="n"/>
      <c r="S257" s="40">
        <f>IF($A257="","",YEAR($A257))</f>
        <v/>
      </c>
      <c r="T257" s="40">
        <f>IF($A257="","",MONTH($A257))</f>
        <v/>
      </c>
      <c r="U257" s="40">
        <f>IF($Q257="","",YEAR($Q257))</f>
        <v/>
      </c>
      <c r="V257" s="40">
        <f>IF($Q257="","",MONTH($Q257))</f>
        <v/>
      </c>
    </row>
  </sheetData>
  <autoFilter ref="A7:V257"/>
  <mergeCells count="6">
    <mergeCell ref="A2:L2"/>
    <mergeCell ref="A1:L1"/>
    <mergeCell ref="D4:F4"/>
    <mergeCell ref="A5:L5"/>
    <mergeCell ref="G4:I4"/>
    <mergeCell ref="A4:C4"/>
  </mergeCells>
  <dataValidations count="6">
    <dataValidation sqref="C8:C257" showDropDown="0" showInputMessage="0" showErrorMessage="0" allowBlank="1" errorTitle="Valor no válido" error="Elige uno de la lista (Parámetros §6). Define si hay IVA, crédito fiscal y retención." promptTitle="Tipo de documento" prompt="Elige uno de la lista (Parámetros §6). Define si hay IVA, crédito fiscal y retención." type="list">
      <formula1>Parámetros!$A$54:$A$60</formula1>
    </dataValidation>
    <dataValidation sqref="E8:E257" showDropDown="0" showInputMessage="0" showErrorMessage="0" allowBlank="1" errorTitle="Valor no válido" error="Elige una de la lista (Parámetros §8)." promptTitle="Categoría" prompt="Elige una de la lista (Parámetros §8)." type="list">
      <formula1>Parámetros!$A$72:$A$88</formula1>
    </dataValidation>
    <dataValidation sqref="H8:H257" showDropDown="0" showInputMessage="0" showErrorMessage="0" allowBlank="1" errorTitle="Valor no válido" error="Sí = el monto que escribiste ya trae el IVA adentro." promptTitle="¿El monto incluye IVA?" prompt="Sí = el monto que escribiste ya trae el IVA adentro." type="list">
      <formula1>"Sí,No"</formula1>
    </dataValidation>
    <dataValidation sqref="O8:O257" showDropDown="0" showInputMessage="0" showErrorMessage="0" allowBlank="1" errorTitle="Valor no válido" error="Sí = el SII lo acepta y rebaja tu impuesto. No = gasto rechazado." promptTitle="¿Gasto aceptado?" prompt="Sí = el SII lo acepta y rebaja tu impuesto. No = gasto rechazado." type="list">
      <formula1>"Sí,No"</formula1>
    </dataValidation>
    <dataValidation sqref="P8:P257" showDropDown="0" showInputMessage="0" showErrorMessage="0" allowBlank="1" errorTitle="Valor no válido" error="Pendiente de pago o Pagado." promptTitle="Estado" prompt="Pendiente de pago o Pagado." type="list">
      <formula1>"Pendiente de pago,Pagado"</formula1>
    </dataValidation>
    <dataValidation sqref="R8:R257" showDropDown="0" showInputMessage="0" showErrorMessage="0" allowBlank="1" errorTitle="Valor no válido" error="Elige uno de la lista (Parámetros §8)." promptTitle="Medio de pago" prompt="Elige uno de la lista (Parámetros §8)." type="list">
      <formula1>Parámetros!$B$72:$B$88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L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34" customWidth="1" min="4" max="4"/>
    <col width="10" customWidth="1" min="5" max="5"/>
    <col width="10" customWidth="1" min="6" max="6"/>
    <col width="4" customWidth="1" min="7" max="7"/>
    <col width="40" customWidth="1" min="8" max="8"/>
    <col width="18" customWidth="1" min="9" max="9"/>
    <col width="16" customWidth="1" min="10" max="10"/>
    <col width="4" customWidth="1" min="11" max="11"/>
    <col width="40" customWidth="1" min="12" max="12"/>
  </cols>
  <sheetData>
    <row r="1" ht="26" customHeight="1">
      <c r="A1" s="17" t="inlineStr">
        <is>
          <t>Retiros hacia tu cuenta personal</t>
        </is>
      </c>
    </row>
    <row r="2" ht="15" customHeight="1">
      <c r="A2" s="29" t="inlineStr">
        <is>
          <t>Cada giro de utilidades que te haces. No son gasto de la empresa: son utilidad que sacas, y pagan tu Global Complementario del año siguiente.</t>
        </is>
      </c>
    </row>
    <row r="4">
      <c r="A4" s="30" t="inlineStr">
        <is>
          <t>Azul = lo escribes tú</t>
        </is>
      </c>
      <c r="D4" s="31" t="inlineStr">
        <is>
          <t>Negro = fórmula, no tocar</t>
        </is>
      </c>
      <c r="G4" s="32" t="inlineStr">
        <is>
          <t>Verde = viene de otra hoja</t>
        </is>
      </c>
    </row>
    <row r="6">
      <c r="H6" s="41" t="inlineStr">
        <is>
          <t>Tu Impuesto Global Complementario (estimación)</t>
        </is>
      </c>
    </row>
    <row r="7" ht="30" customHeight="1">
      <c r="A7" s="9" t="inlineStr">
        <is>
          <t>Fecha</t>
        </is>
      </c>
      <c r="B7" s="9" t="inlineStr">
        <is>
          <t>Monto ($)</t>
        </is>
      </c>
      <c r="C7" s="9" t="inlineStr">
        <is>
          <t>Cuenta destino</t>
        </is>
      </c>
      <c r="D7" s="9" t="inlineStr">
        <is>
          <t>Glosa / motivo</t>
        </is>
      </c>
      <c r="E7" s="9" t="inlineStr">
        <is>
          <t>Año</t>
        </is>
      </c>
      <c r="F7" s="9" t="inlineStr">
        <is>
          <t>Mes</t>
        </is>
      </c>
    </row>
    <row r="8">
      <c r="A8" s="33" t="n">
        <v>46068</v>
      </c>
      <c r="B8" s="35" t="n">
        <v>800000</v>
      </c>
      <c r="C8" s="34" t="inlineStr">
        <is>
          <t>Banco personal · cta. corriente</t>
        </is>
      </c>
      <c r="D8" s="34" t="inlineStr">
        <is>
          <t>Retiro de utilidades febrero</t>
        </is>
      </c>
      <c r="E8" s="36">
        <f>IF($A8="","",YEAR($A8))</f>
        <v/>
      </c>
      <c r="F8" s="36">
        <f>IF($A8="","",MONTH($A8))</f>
        <v/>
      </c>
      <c r="H8" s="6" t="inlineStr">
        <is>
          <t>Retiros del año</t>
        </is>
      </c>
      <c r="I8" s="25">
        <f>SUMIFS($B$8:$B$67,$E$8:$E$67,Parámetros!$B$10)</f>
        <v/>
      </c>
    </row>
    <row r="9">
      <c r="A9" s="37" t="n"/>
      <c r="B9" s="39" t="n"/>
      <c r="C9" s="38" t="n"/>
      <c r="D9" s="38" t="n"/>
      <c r="E9" s="40">
        <f>IF($A9="","",YEAR($A9))</f>
        <v/>
      </c>
      <c r="F9" s="40">
        <f>IF($A9="","",MONTH($A9))</f>
        <v/>
      </c>
      <c r="H9" s="6" t="inlineStr">
        <is>
          <t>(+) Incremento por crédito de 1ª Categoría</t>
        </is>
      </c>
      <c r="I9" s="25">
        <f>ROUND(I8*(Parámetros!$B$14/(1-Parámetros!$B$14)),0)</f>
        <v/>
      </c>
    </row>
    <row r="10">
      <c r="A10" s="37" t="n"/>
      <c r="B10" s="39" t="n"/>
      <c r="C10" s="38" t="n"/>
      <c r="D10" s="38" t="n"/>
      <c r="E10" s="40">
        <f>IF($A10="","",YEAR($A10))</f>
        <v/>
      </c>
      <c r="F10" s="40">
        <f>IF($A10="","",MONTH($A10))</f>
        <v/>
      </c>
      <c r="H10" s="42" t="inlineStr">
        <is>
          <t>= Base bruta (renta a declarar)</t>
        </is>
      </c>
      <c r="I10" s="43">
        <f>I8+I9</f>
        <v/>
      </c>
    </row>
    <row r="11">
      <c r="A11" s="37" t="n"/>
      <c r="B11" s="39" t="n"/>
      <c r="C11" s="38" t="n"/>
      <c r="D11" s="38" t="n"/>
      <c r="E11" s="40">
        <f>IF($A11="","",YEAR($A11))</f>
        <v/>
      </c>
      <c r="F11" s="40">
        <f>IF($A11="","",MONTH($A11))</f>
        <v/>
      </c>
      <c r="H11" s="6" t="inlineStr">
        <is>
          <t>Valor UTA</t>
        </is>
      </c>
      <c r="I11" s="24">
        <f>Parámetros!$B$38</f>
        <v/>
      </c>
    </row>
    <row r="12">
      <c r="A12" s="37" t="n"/>
      <c r="B12" s="39" t="n"/>
      <c r="C12" s="38" t="n"/>
      <c r="D12" s="38" t="n"/>
      <c r="E12" s="40">
        <f>IF($A12="","",YEAR($A12))</f>
        <v/>
      </c>
      <c r="F12" s="40">
        <f>IF($A12="","",MONTH($A12))</f>
        <v/>
      </c>
      <c r="H12" s="6" t="inlineStr">
        <is>
          <t>Base en UTA</t>
        </is>
      </c>
      <c r="I12" s="44">
        <f>IFERROR(I10/I11,0)</f>
        <v/>
      </c>
    </row>
    <row r="13">
      <c r="A13" s="37" t="n"/>
      <c r="B13" s="39" t="n"/>
      <c r="C13" s="38" t="n"/>
      <c r="D13" s="38" t="n"/>
      <c r="E13" s="40">
        <f>IF($A13="","",YEAR($A13))</f>
        <v/>
      </c>
      <c r="F13" s="40">
        <f>IF($A13="","",MONTH($A13))</f>
        <v/>
      </c>
      <c r="H13" s="6" t="inlineStr">
        <is>
          <t>Tasa del tramo</t>
        </is>
      </c>
      <c r="I13" s="45">
        <f>IFERROR(INDEX(Parámetros!$C$42:$C$49,MATCH(I12,Parámetros!$A$42:$A$49,1)),0)</f>
        <v/>
      </c>
    </row>
    <row r="14">
      <c r="A14" s="37" t="n"/>
      <c r="B14" s="39" t="n"/>
      <c r="C14" s="38" t="n"/>
      <c r="D14" s="38" t="n"/>
      <c r="E14" s="40">
        <f>IF($A14="","",YEAR($A14))</f>
        <v/>
      </c>
      <c r="F14" s="40">
        <f>IF($A14="","",MONTH($A14))</f>
        <v/>
      </c>
      <c r="H14" s="6" t="inlineStr">
        <is>
          <t>Rebaja del tramo (UTA)</t>
        </is>
      </c>
      <c r="I14" s="44">
        <f>IFERROR(INDEX(Parámetros!$D$42:$D$49,MATCH(I12,Parámetros!$A$42:$A$49,1)),0)</f>
        <v/>
      </c>
    </row>
    <row r="15">
      <c r="A15" s="37" t="n"/>
      <c r="B15" s="39" t="n"/>
      <c r="C15" s="38" t="n"/>
      <c r="D15" s="38" t="n"/>
      <c r="E15" s="40">
        <f>IF($A15="","",YEAR($A15))</f>
        <v/>
      </c>
      <c r="F15" s="40">
        <f>IF($A15="","",MONTH($A15))</f>
        <v/>
      </c>
      <c r="H15" s="6" t="inlineStr">
        <is>
          <t>Impuesto según tabla</t>
        </is>
      </c>
      <c r="I15" s="25">
        <f>ROUND(MAX(0,I12*I13-I14)*I11,0)</f>
        <v/>
      </c>
    </row>
    <row r="16">
      <c r="A16" s="37" t="n"/>
      <c r="B16" s="39" t="n"/>
      <c r="C16" s="38" t="n"/>
      <c r="D16" s="38" t="n"/>
      <c r="E16" s="40">
        <f>IF($A16="","",YEAR($A16))</f>
        <v/>
      </c>
      <c r="F16" s="40">
        <f>IF($A16="","",MONTH($A16))</f>
        <v/>
      </c>
      <c r="H16" s="6" t="inlineStr">
        <is>
          <t>(−) Crédito por IDPC ya pagado</t>
        </is>
      </c>
      <c r="I16" s="25">
        <f>I9</f>
        <v/>
      </c>
    </row>
    <row r="17">
      <c r="A17" s="37" t="n"/>
      <c r="B17" s="39" t="n"/>
      <c r="C17" s="38" t="n"/>
      <c r="D17" s="38" t="n"/>
      <c r="E17" s="40">
        <f>IF($A17="","",YEAR($A17))</f>
        <v/>
      </c>
      <c r="F17" s="40">
        <f>IF($A17="","",MONTH($A17))</f>
        <v/>
      </c>
      <c r="H17" s="42" t="inlineStr">
        <is>
          <t>= Te toca pagar (o te devuelven)</t>
        </is>
      </c>
      <c r="I17" s="43">
        <f>I15-I16</f>
        <v/>
      </c>
    </row>
    <row r="18">
      <c r="A18" s="37" t="n"/>
      <c r="B18" s="39" t="n"/>
      <c r="C18" s="38" t="n"/>
      <c r="D18" s="38" t="n"/>
      <c r="E18" s="40">
        <f>IF($A18="","",YEAR($A18))</f>
        <v/>
      </c>
      <c r="F18" s="40">
        <f>IF($A18="","",MONTH($A18))</f>
        <v/>
      </c>
    </row>
    <row r="19">
      <c r="A19" s="37" t="n"/>
      <c r="B19" s="39" t="n"/>
      <c r="C19" s="38" t="n"/>
      <c r="D19" s="38" t="n"/>
      <c r="E19" s="40">
        <f>IF($A19="","",YEAR($A19))</f>
        <v/>
      </c>
      <c r="F19" s="40">
        <f>IF($A19="","",MONTH($A19))</f>
        <v/>
      </c>
      <c r="H19" s="16" t="inlineStr">
        <is>
          <t>⚠ Es una estimación de ESTA fuente de renta solamente. Si además recibes sueldo, boletas de honorarios, arriendos o dividendos, todo se suma en la misma declaración y el tramo sube. Un resultado negativo significa devolución: el crédito de 1ª Categoría que ya pagó la empresa superó tu impuesto personal.</t>
        </is>
      </c>
    </row>
    <row r="20">
      <c r="A20" s="37" t="n"/>
      <c r="B20" s="39" t="n"/>
      <c r="C20" s="38" t="n"/>
      <c r="D20" s="38" t="n"/>
      <c r="E20" s="40">
        <f>IF($A20="","",YEAR($A20))</f>
        <v/>
      </c>
      <c r="F20" s="40">
        <f>IF($A20="","",MONTH($A20))</f>
        <v/>
      </c>
    </row>
    <row r="21">
      <c r="A21" s="37" t="n"/>
      <c r="B21" s="39" t="n"/>
      <c r="C21" s="38" t="n"/>
      <c r="D21" s="38" t="n"/>
      <c r="E21" s="40">
        <f>IF($A21="","",YEAR($A21))</f>
        <v/>
      </c>
      <c r="F21" s="40">
        <f>IF($A21="","",MONTH($A21))</f>
        <v/>
      </c>
    </row>
    <row r="22">
      <c r="A22" s="37" t="n"/>
      <c r="B22" s="39" t="n"/>
      <c r="C22" s="38" t="n"/>
      <c r="D22" s="38" t="n"/>
      <c r="E22" s="40">
        <f>IF($A22="","",YEAR($A22))</f>
        <v/>
      </c>
      <c r="F22" s="40">
        <f>IF($A22="","",MONTH($A22))</f>
        <v/>
      </c>
    </row>
    <row r="23">
      <c r="A23" s="37" t="n"/>
      <c r="B23" s="39" t="n"/>
      <c r="C23" s="38" t="n"/>
      <c r="D23" s="38" t="n"/>
      <c r="E23" s="40">
        <f>IF($A23="","",YEAR($A23))</f>
        <v/>
      </c>
      <c r="F23" s="40">
        <f>IF($A23="","",MONTH($A23))</f>
        <v/>
      </c>
    </row>
    <row r="24">
      <c r="A24" s="37" t="n"/>
      <c r="B24" s="39" t="n"/>
      <c r="C24" s="38" t="n"/>
      <c r="D24" s="38" t="n"/>
      <c r="E24" s="40">
        <f>IF($A24="","",YEAR($A24))</f>
        <v/>
      </c>
      <c r="F24" s="40">
        <f>IF($A24="","",MONTH($A24))</f>
        <v/>
      </c>
    </row>
    <row r="25">
      <c r="A25" s="37" t="n"/>
      <c r="B25" s="39" t="n"/>
      <c r="C25" s="38" t="n"/>
      <c r="D25" s="38" t="n"/>
      <c r="E25" s="40">
        <f>IF($A25="","",YEAR($A25))</f>
        <v/>
      </c>
      <c r="F25" s="40">
        <f>IF($A25="","",MONTH($A25))</f>
        <v/>
      </c>
      <c r="H25" s="41" t="inlineStr">
        <is>
          <t>Cuánto puedes retirar sin descapitalizarte</t>
        </is>
      </c>
    </row>
    <row r="26">
      <c r="A26" s="37" t="n"/>
      <c r="B26" s="39" t="n"/>
      <c r="C26" s="38" t="n"/>
      <c r="D26" s="38" t="n"/>
      <c r="E26" s="40">
        <f>IF($A26="","",YEAR($A26))</f>
        <v/>
      </c>
      <c r="F26" s="40">
        <f>IF($A26="","",MONTH($A26))</f>
        <v/>
      </c>
      <c r="H26" s="6" t="inlineStr">
        <is>
          <t>Utilidad del año después de impuesto</t>
        </is>
      </c>
      <c r="I26" s="24">
        <f>Renta!$C$18</f>
        <v/>
      </c>
    </row>
    <row r="27">
      <c r="A27" s="37" t="n"/>
      <c r="B27" s="39" t="n"/>
      <c r="C27" s="38" t="n"/>
      <c r="D27" s="38" t="n"/>
      <c r="E27" s="40">
        <f>IF($A27="","",YEAR($A27))</f>
        <v/>
      </c>
      <c r="F27" s="40">
        <f>IF($A27="","",MONTH($A27))</f>
        <v/>
      </c>
      <c r="H27" s="6" t="inlineStr">
        <is>
          <t>Retirado hasta ahora</t>
        </is>
      </c>
      <c r="I27" s="25">
        <f>I8</f>
        <v/>
      </c>
    </row>
    <row r="28">
      <c r="A28" s="37" t="n"/>
      <c r="B28" s="39" t="n"/>
      <c r="C28" s="38" t="n"/>
      <c r="D28" s="38" t="n"/>
      <c r="E28" s="40">
        <f>IF($A28="","",YEAR($A28))</f>
        <v/>
      </c>
      <c r="F28" s="40">
        <f>IF($A28="","",MONTH($A28))</f>
        <v/>
      </c>
      <c r="H28" s="42" t="inlineStr">
        <is>
          <t>= Margen que queda por retirar</t>
        </is>
      </c>
      <c r="I28" s="43">
        <f>I26-I27</f>
        <v/>
      </c>
    </row>
    <row r="29">
      <c r="A29" s="37" t="n"/>
      <c r="B29" s="39" t="n"/>
      <c r="C29" s="38" t="n"/>
      <c r="D29" s="38" t="n"/>
      <c r="E29" s="40">
        <f>IF($A29="","",YEAR($A29))</f>
        <v/>
      </c>
      <c r="F29" s="40">
        <f>IF($A29="","",MONTH($A29))</f>
        <v/>
      </c>
      <c r="H29" s="6" t="inlineStr">
        <is>
          <t>Caja disponible hoy</t>
        </is>
      </c>
      <c r="I29" s="24">
        <f>Flujo!$H$19</f>
        <v/>
      </c>
    </row>
    <row r="30">
      <c r="A30" s="37" t="n"/>
      <c r="B30" s="39" t="n"/>
      <c r="C30" s="38" t="n"/>
      <c r="D30" s="38" t="n"/>
      <c r="E30" s="40">
        <f>IF($A30="","",YEAR($A30))</f>
        <v/>
      </c>
      <c r="F30" s="40">
        <f>IF($A30="","",MONTH($A30))</f>
        <v/>
      </c>
    </row>
    <row r="31">
      <c r="A31" s="37" t="n"/>
      <c r="B31" s="39" t="n"/>
      <c r="C31" s="38" t="n"/>
      <c r="D31" s="38" t="n"/>
      <c r="E31" s="40">
        <f>IF($A31="","",YEAR($A31))</f>
        <v/>
      </c>
      <c r="F31" s="40">
        <f>IF($A31="","",MONTH($A31))</f>
        <v/>
      </c>
      <c r="H31" s="16" t="inlineStr">
        <is>
          <t>Retirar más que la utilidad no es ilegal, pero deja la empresa sin respaldo: revisa siempre las dos líneas. La de arriba te dice cuánto GANASTE; la de abajo, cuánta plata HAY.</t>
        </is>
      </c>
    </row>
    <row r="32">
      <c r="A32" s="37" t="n"/>
      <c r="B32" s="39" t="n"/>
      <c r="C32" s="38" t="n"/>
      <c r="D32" s="38" t="n"/>
      <c r="E32" s="40">
        <f>IF($A32="","",YEAR($A32))</f>
        <v/>
      </c>
      <c r="F32" s="40">
        <f>IF($A32="","",MONTH($A32))</f>
        <v/>
      </c>
    </row>
    <row r="33">
      <c r="A33" s="37" t="n"/>
      <c r="B33" s="39" t="n"/>
      <c r="C33" s="38" t="n"/>
      <c r="D33" s="38" t="n"/>
      <c r="E33" s="40">
        <f>IF($A33="","",YEAR($A33))</f>
        <v/>
      </c>
      <c r="F33" s="40">
        <f>IF($A33="","",MONTH($A33))</f>
        <v/>
      </c>
    </row>
    <row r="34">
      <c r="A34" s="37" t="n"/>
      <c r="B34" s="39" t="n"/>
      <c r="C34" s="38" t="n"/>
      <c r="D34" s="38" t="n"/>
      <c r="E34" s="40">
        <f>IF($A34="","",YEAR($A34))</f>
        <v/>
      </c>
      <c r="F34" s="40">
        <f>IF($A34="","",MONTH($A34))</f>
        <v/>
      </c>
    </row>
    <row r="35">
      <c r="A35" s="37" t="n"/>
      <c r="B35" s="39" t="n"/>
      <c r="C35" s="38" t="n"/>
      <c r="D35" s="38" t="n"/>
      <c r="E35" s="40">
        <f>IF($A35="","",YEAR($A35))</f>
        <v/>
      </c>
      <c r="F35" s="40">
        <f>IF($A35="","",MONTH($A35))</f>
        <v/>
      </c>
    </row>
    <row r="36">
      <c r="A36" s="37" t="n"/>
      <c r="B36" s="39" t="n"/>
      <c r="C36" s="38" t="n"/>
      <c r="D36" s="38" t="n"/>
      <c r="E36" s="40">
        <f>IF($A36="","",YEAR($A36))</f>
        <v/>
      </c>
      <c r="F36" s="40">
        <f>IF($A36="","",MONTH($A36))</f>
        <v/>
      </c>
    </row>
    <row r="37">
      <c r="A37" s="37" t="n"/>
      <c r="B37" s="39" t="n"/>
      <c r="C37" s="38" t="n"/>
      <c r="D37" s="38" t="n"/>
      <c r="E37" s="40">
        <f>IF($A37="","",YEAR($A37))</f>
        <v/>
      </c>
      <c r="F37" s="40">
        <f>IF($A37="","",MONTH($A37))</f>
        <v/>
      </c>
    </row>
    <row r="38">
      <c r="A38" s="37" t="n"/>
      <c r="B38" s="39" t="n"/>
      <c r="C38" s="38" t="n"/>
      <c r="D38" s="38" t="n"/>
      <c r="E38" s="40">
        <f>IF($A38="","",YEAR($A38))</f>
        <v/>
      </c>
      <c r="F38" s="40">
        <f>IF($A38="","",MONTH($A38))</f>
        <v/>
      </c>
    </row>
    <row r="39">
      <c r="A39" s="37" t="n"/>
      <c r="B39" s="39" t="n"/>
      <c r="C39" s="38" t="n"/>
      <c r="D39" s="38" t="n"/>
      <c r="E39" s="40">
        <f>IF($A39="","",YEAR($A39))</f>
        <v/>
      </c>
      <c r="F39" s="40">
        <f>IF($A39="","",MONTH($A39))</f>
        <v/>
      </c>
    </row>
    <row r="40">
      <c r="A40" s="37" t="n"/>
      <c r="B40" s="39" t="n"/>
      <c r="C40" s="38" t="n"/>
      <c r="D40" s="38" t="n"/>
      <c r="E40" s="40">
        <f>IF($A40="","",YEAR($A40))</f>
        <v/>
      </c>
      <c r="F40" s="40">
        <f>IF($A40="","",MONTH($A40))</f>
        <v/>
      </c>
    </row>
    <row r="41">
      <c r="A41" s="37" t="n"/>
      <c r="B41" s="39" t="n"/>
      <c r="C41" s="38" t="n"/>
      <c r="D41" s="38" t="n"/>
      <c r="E41" s="40">
        <f>IF($A41="","",YEAR($A41))</f>
        <v/>
      </c>
      <c r="F41" s="40">
        <f>IF($A41="","",MONTH($A41))</f>
        <v/>
      </c>
    </row>
    <row r="42">
      <c r="A42" s="37" t="n"/>
      <c r="B42" s="39" t="n"/>
      <c r="C42" s="38" t="n"/>
      <c r="D42" s="38" t="n"/>
      <c r="E42" s="40">
        <f>IF($A42="","",YEAR($A42))</f>
        <v/>
      </c>
      <c r="F42" s="40">
        <f>IF($A42="","",MONTH($A42))</f>
        <v/>
      </c>
    </row>
    <row r="43">
      <c r="A43" s="37" t="n"/>
      <c r="B43" s="39" t="n"/>
      <c r="C43" s="38" t="n"/>
      <c r="D43" s="38" t="n"/>
      <c r="E43" s="40">
        <f>IF($A43="","",YEAR($A43))</f>
        <v/>
      </c>
      <c r="F43" s="40">
        <f>IF($A43="","",MONTH($A43))</f>
        <v/>
      </c>
    </row>
    <row r="44">
      <c r="A44" s="37" t="n"/>
      <c r="B44" s="39" t="n"/>
      <c r="C44" s="38" t="n"/>
      <c r="D44" s="38" t="n"/>
      <c r="E44" s="40">
        <f>IF($A44="","",YEAR($A44))</f>
        <v/>
      </c>
      <c r="F44" s="40">
        <f>IF($A44="","",MONTH($A44))</f>
        <v/>
      </c>
    </row>
    <row r="45">
      <c r="A45" s="37" t="n"/>
      <c r="B45" s="39" t="n"/>
      <c r="C45" s="38" t="n"/>
      <c r="D45" s="38" t="n"/>
      <c r="E45" s="40">
        <f>IF($A45="","",YEAR($A45))</f>
        <v/>
      </c>
      <c r="F45" s="40">
        <f>IF($A45="","",MONTH($A45))</f>
        <v/>
      </c>
    </row>
    <row r="46">
      <c r="A46" s="37" t="n"/>
      <c r="B46" s="39" t="n"/>
      <c r="C46" s="38" t="n"/>
      <c r="D46" s="38" t="n"/>
      <c r="E46" s="40">
        <f>IF($A46="","",YEAR($A46))</f>
        <v/>
      </c>
      <c r="F46" s="40">
        <f>IF($A46="","",MONTH($A46))</f>
        <v/>
      </c>
    </row>
    <row r="47">
      <c r="A47" s="37" t="n"/>
      <c r="B47" s="39" t="n"/>
      <c r="C47" s="38" t="n"/>
      <c r="D47" s="38" t="n"/>
      <c r="E47" s="40">
        <f>IF($A47="","",YEAR($A47))</f>
        <v/>
      </c>
      <c r="F47" s="40">
        <f>IF($A47="","",MONTH($A47))</f>
        <v/>
      </c>
    </row>
    <row r="48">
      <c r="A48" s="37" t="n"/>
      <c r="B48" s="39" t="n"/>
      <c r="C48" s="38" t="n"/>
      <c r="D48" s="38" t="n"/>
      <c r="E48" s="40">
        <f>IF($A48="","",YEAR($A48))</f>
        <v/>
      </c>
      <c r="F48" s="40">
        <f>IF($A48="","",MONTH($A48))</f>
        <v/>
      </c>
    </row>
    <row r="49">
      <c r="A49" s="37" t="n"/>
      <c r="B49" s="39" t="n"/>
      <c r="C49" s="38" t="n"/>
      <c r="D49" s="38" t="n"/>
      <c r="E49" s="40">
        <f>IF($A49="","",YEAR($A49))</f>
        <v/>
      </c>
      <c r="F49" s="40">
        <f>IF($A49="","",MONTH($A49))</f>
        <v/>
      </c>
    </row>
    <row r="50">
      <c r="A50" s="37" t="n"/>
      <c r="B50" s="39" t="n"/>
      <c r="C50" s="38" t="n"/>
      <c r="D50" s="38" t="n"/>
      <c r="E50" s="40">
        <f>IF($A50="","",YEAR($A50))</f>
        <v/>
      </c>
      <c r="F50" s="40">
        <f>IF($A50="","",MONTH($A50))</f>
        <v/>
      </c>
    </row>
    <row r="51">
      <c r="A51" s="37" t="n"/>
      <c r="B51" s="39" t="n"/>
      <c r="C51" s="38" t="n"/>
      <c r="D51" s="38" t="n"/>
      <c r="E51" s="40">
        <f>IF($A51="","",YEAR($A51))</f>
        <v/>
      </c>
      <c r="F51" s="40">
        <f>IF($A51="","",MONTH($A51))</f>
        <v/>
      </c>
    </row>
    <row r="52">
      <c r="A52" s="37" t="n"/>
      <c r="B52" s="39" t="n"/>
      <c r="C52" s="38" t="n"/>
      <c r="D52" s="38" t="n"/>
      <c r="E52" s="40">
        <f>IF($A52="","",YEAR($A52))</f>
        <v/>
      </c>
      <c r="F52" s="40">
        <f>IF($A52="","",MONTH($A52))</f>
        <v/>
      </c>
    </row>
    <row r="53">
      <c r="A53" s="37" t="n"/>
      <c r="B53" s="39" t="n"/>
      <c r="C53" s="38" t="n"/>
      <c r="D53" s="38" t="n"/>
      <c r="E53" s="40">
        <f>IF($A53="","",YEAR($A53))</f>
        <v/>
      </c>
      <c r="F53" s="40">
        <f>IF($A53="","",MONTH($A53))</f>
        <v/>
      </c>
    </row>
    <row r="54">
      <c r="A54" s="37" t="n"/>
      <c r="B54" s="39" t="n"/>
      <c r="C54" s="38" t="n"/>
      <c r="D54" s="38" t="n"/>
      <c r="E54" s="40">
        <f>IF($A54="","",YEAR($A54))</f>
        <v/>
      </c>
      <c r="F54" s="40">
        <f>IF($A54="","",MONTH($A54))</f>
        <v/>
      </c>
    </row>
    <row r="55">
      <c r="A55" s="37" t="n"/>
      <c r="B55" s="39" t="n"/>
      <c r="C55" s="38" t="n"/>
      <c r="D55" s="38" t="n"/>
      <c r="E55" s="40">
        <f>IF($A55="","",YEAR($A55))</f>
        <v/>
      </c>
      <c r="F55" s="40">
        <f>IF($A55="","",MONTH($A55))</f>
        <v/>
      </c>
    </row>
    <row r="56">
      <c r="A56" s="37" t="n"/>
      <c r="B56" s="39" t="n"/>
      <c r="C56" s="38" t="n"/>
      <c r="D56" s="38" t="n"/>
      <c r="E56" s="40">
        <f>IF($A56="","",YEAR($A56))</f>
        <v/>
      </c>
      <c r="F56" s="40">
        <f>IF($A56="","",MONTH($A56))</f>
        <v/>
      </c>
    </row>
    <row r="57">
      <c r="A57" s="37" t="n"/>
      <c r="B57" s="39" t="n"/>
      <c r="C57" s="38" t="n"/>
      <c r="D57" s="38" t="n"/>
      <c r="E57" s="40">
        <f>IF($A57="","",YEAR($A57))</f>
        <v/>
      </c>
      <c r="F57" s="40">
        <f>IF($A57="","",MONTH($A57))</f>
        <v/>
      </c>
    </row>
    <row r="58">
      <c r="A58" s="37" t="n"/>
      <c r="B58" s="39" t="n"/>
      <c r="C58" s="38" t="n"/>
      <c r="D58" s="38" t="n"/>
      <c r="E58" s="40">
        <f>IF($A58="","",YEAR($A58))</f>
        <v/>
      </c>
      <c r="F58" s="40">
        <f>IF($A58="","",MONTH($A58))</f>
        <v/>
      </c>
    </row>
    <row r="59">
      <c r="A59" s="37" t="n"/>
      <c r="B59" s="39" t="n"/>
      <c r="C59" s="38" t="n"/>
      <c r="D59" s="38" t="n"/>
      <c r="E59" s="40">
        <f>IF($A59="","",YEAR($A59))</f>
        <v/>
      </c>
      <c r="F59" s="40">
        <f>IF($A59="","",MONTH($A59))</f>
        <v/>
      </c>
    </row>
    <row r="60">
      <c r="A60" s="37" t="n"/>
      <c r="B60" s="39" t="n"/>
      <c r="C60" s="38" t="n"/>
      <c r="D60" s="38" t="n"/>
      <c r="E60" s="40">
        <f>IF($A60="","",YEAR($A60))</f>
        <v/>
      </c>
      <c r="F60" s="40">
        <f>IF($A60="","",MONTH($A60))</f>
        <v/>
      </c>
    </row>
    <row r="61">
      <c r="A61" s="37" t="n"/>
      <c r="B61" s="39" t="n"/>
      <c r="C61" s="38" t="n"/>
      <c r="D61" s="38" t="n"/>
      <c r="E61" s="40">
        <f>IF($A61="","",YEAR($A61))</f>
        <v/>
      </c>
      <c r="F61" s="40">
        <f>IF($A61="","",MONTH($A61))</f>
        <v/>
      </c>
    </row>
    <row r="62">
      <c r="A62" s="37" t="n"/>
      <c r="B62" s="39" t="n"/>
      <c r="C62" s="38" t="n"/>
      <c r="D62" s="38" t="n"/>
      <c r="E62" s="40">
        <f>IF($A62="","",YEAR($A62))</f>
        <v/>
      </c>
      <c r="F62" s="40">
        <f>IF($A62="","",MONTH($A62))</f>
        <v/>
      </c>
    </row>
    <row r="63">
      <c r="A63" s="37" t="n"/>
      <c r="B63" s="39" t="n"/>
      <c r="C63" s="38" t="n"/>
      <c r="D63" s="38" t="n"/>
      <c r="E63" s="40">
        <f>IF($A63="","",YEAR($A63))</f>
        <v/>
      </c>
      <c r="F63" s="40">
        <f>IF($A63="","",MONTH($A63))</f>
        <v/>
      </c>
    </row>
    <row r="64">
      <c r="A64" s="37" t="n"/>
      <c r="B64" s="39" t="n"/>
      <c r="C64" s="38" t="n"/>
      <c r="D64" s="38" t="n"/>
      <c r="E64" s="40">
        <f>IF($A64="","",YEAR($A64))</f>
        <v/>
      </c>
      <c r="F64" s="40">
        <f>IF($A64="","",MONTH($A64))</f>
        <v/>
      </c>
    </row>
    <row r="65">
      <c r="A65" s="37" t="n"/>
      <c r="B65" s="39" t="n"/>
      <c r="C65" s="38" t="n"/>
      <c r="D65" s="38" t="n"/>
      <c r="E65" s="40">
        <f>IF($A65="","",YEAR($A65))</f>
        <v/>
      </c>
      <c r="F65" s="40">
        <f>IF($A65="","",MONTH($A65))</f>
        <v/>
      </c>
    </row>
    <row r="66">
      <c r="A66" s="37" t="n"/>
      <c r="B66" s="39" t="n"/>
      <c r="C66" s="38" t="n"/>
      <c r="D66" s="38" t="n"/>
      <c r="E66" s="40">
        <f>IF($A66="","",YEAR($A66))</f>
        <v/>
      </c>
      <c r="F66" s="40">
        <f>IF($A66="","",MONTH($A66))</f>
        <v/>
      </c>
    </row>
    <row r="67">
      <c r="A67" s="37" t="n"/>
      <c r="B67" s="39" t="n"/>
      <c r="C67" s="38" t="n"/>
      <c r="D67" s="38" t="n"/>
      <c r="E67" s="40">
        <f>IF($A67="","",YEAR($A67))</f>
        <v/>
      </c>
      <c r="F67" s="40">
        <f>IF($A67="","",MONTH($A67))</f>
        <v/>
      </c>
    </row>
  </sheetData>
  <mergeCells count="9">
    <mergeCell ref="A2:L2"/>
    <mergeCell ref="H31:J33"/>
    <mergeCell ref="H19:J23"/>
    <mergeCell ref="A1:L1"/>
    <mergeCell ref="D4:F4"/>
    <mergeCell ref="G4:I4"/>
    <mergeCell ref="A4:C4"/>
    <mergeCell ref="H25:J25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O2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  <col width="14" customWidth="1" min="9" max="9"/>
    <col width="15" customWidth="1" min="10" max="10"/>
    <col width="16" customWidth="1" min="11" max="11"/>
    <col width="12" customWidth="1" min="12" max="12"/>
    <col width="14" customWidth="1" min="13" max="13"/>
    <col width="16" customWidth="1" min="14" max="14"/>
    <col width="18" customWidth="1" min="15" max="15"/>
  </cols>
  <sheetData>
    <row r="1" ht="26" customHeight="1">
      <c r="A1" s="17" t="inlineStr">
        <is>
          <t>Mensual · IVA, PPM y retenciones</t>
        </is>
      </c>
    </row>
    <row r="2" ht="15" customHeight="1">
      <c r="A2" s="29" t="inlineStr">
        <is>
          <t>Tu F29 mes a mes. Todo sale solo de Ingresos y Gastos: no se escribe nada acá.</t>
        </is>
      </c>
    </row>
    <row r="4" ht="28" customHeight="1">
      <c r="A4" s="16" t="inlineStr">
        <is>
          <t>⚠ Dos relojes distintos, a propósito: el IVA se declara según la fecha de EMISIÓN del documento (aunque no te hayan pagado), mientras que el PPM y las retenciones se calculan sobre lo efectivamente PERCIBIDO y PAGADO en el mes. Así funciona el régimen Pro Pyme y es el error más común de las planillas caseras.</t>
        </is>
      </c>
    </row>
    <row r="5">
      <c r="A5" s="16" t="inlineStr">
        <is>
          <t>Cada fila se declara y paga hasta el día 12 del mes siguiente (día 20 si declaras y pagas por internet sin cheque).</t>
        </is>
      </c>
    </row>
    <row r="7" ht="30" customHeight="1">
      <c r="A7" s="9" t="inlineStr">
        <is>
          <t>Mes</t>
        </is>
      </c>
      <c r="B7" s="9" t="inlineStr">
        <is>
          <t>N°</t>
        </is>
      </c>
      <c r="C7" s="9" t="inlineStr">
        <is>
          <t>Ventas netas</t>
        </is>
      </c>
      <c r="D7" s="9" t="inlineStr">
        <is>
          <t>Débito fiscal</t>
        </is>
      </c>
      <c r="E7" s="9" t="inlineStr">
        <is>
          <t>Compras netas</t>
        </is>
      </c>
      <c r="F7" s="9" t="inlineStr">
        <is>
          <t>Crédito fiscal</t>
        </is>
      </c>
      <c r="G7" s="9" t="inlineStr">
        <is>
          <t>Remanente mes ant.</t>
        </is>
      </c>
      <c r="H7" s="9" t="inlineStr">
        <is>
          <t>IVA determinado</t>
        </is>
      </c>
      <c r="I7" s="9" t="inlineStr">
        <is>
          <t>IVA a pagar</t>
        </is>
      </c>
      <c r="J7" s="9" t="inlineStr">
        <is>
          <t>Remanente al mes sig.</t>
        </is>
      </c>
      <c r="K7" s="9" t="inlineStr">
        <is>
          <t>Ingresos percibidos</t>
        </is>
      </c>
      <c r="L7" s="9" t="inlineStr">
        <is>
          <t>PPM</t>
        </is>
      </c>
      <c r="M7" s="9" t="inlineStr">
        <is>
          <t>Retenciones (cód. 153)</t>
        </is>
      </c>
      <c r="N7" s="9" t="inlineStr">
        <is>
          <t>TOTAL F29 del mes</t>
        </is>
      </c>
      <c r="O7" s="9" t="inlineStr">
        <is>
          <t>Se paga en</t>
        </is>
      </c>
    </row>
    <row r="8">
      <c r="A8" s="11" t="inlineStr">
        <is>
          <t>Enero</t>
        </is>
      </c>
      <c r="B8" s="40" t="n">
        <v>1</v>
      </c>
      <c r="C8" s="25">
        <f>SUMIFS(Ingresos!$F$8:$F$157,Ingresos!$L$8:$L$157,Parámetros!$B$10,Ingresos!$M$8:$M$157,$B8)</f>
        <v/>
      </c>
      <c r="D8" s="25">
        <f>SUMIFS(Ingresos!$G$8:$G$157,Ingresos!$L$8:$L$157,Parámetros!$B$10,Ingresos!$M$8:$M$157,$B8)</f>
        <v/>
      </c>
      <c r="E8" s="25">
        <f>SUMIFS(Gastos!$I$8:$I$257,Gastos!$S$8:$S$257,Parámetros!$B$10,Gastos!$T$8:$T$257,$B8)</f>
        <v/>
      </c>
      <c r="F8" s="25">
        <f>SUMIFS(Gastos!$K$8:$K$257,Gastos!$S$8:$S$257,Parámetros!$B$10,Gastos!$T$8:$T$257,$B8)</f>
        <v/>
      </c>
      <c r="G8" s="24">
        <f>Parámetros!$B$22</f>
        <v/>
      </c>
      <c r="H8" s="25">
        <f>$D8-$F8-$G8</f>
        <v/>
      </c>
      <c r="I8" s="25">
        <f>MAX(0,$H8)</f>
        <v/>
      </c>
      <c r="J8" s="25">
        <f>MAX(0,-$H8)</f>
        <v/>
      </c>
      <c r="K8" s="25">
        <f>SUMIFS(Ingresos!$F$8:$F$157,Ingresos!$N$8:$N$157,Parámetros!$B$10,Ingresos!$O$8:$O$157,$B8)</f>
        <v/>
      </c>
      <c r="L8" s="25">
        <f>ROUND($K8*Parámetros!$B$15,0)</f>
        <v/>
      </c>
      <c r="M8" s="25">
        <f>SUMIFS(Gastos!$L$8:$L$257,Gastos!$U$8:$U$257,Parámetros!$B$10,Gastos!$V$8:$V$257,$B8)</f>
        <v/>
      </c>
      <c r="N8" s="43">
        <f>$I8+$L8+$M8</f>
        <v/>
      </c>
      <c r="O8" s="46" t="inlineStr">
        <is>
          <t>Febrero</t>
        </is>
      </c>
    </row>
    <row r="9">
      <c r="A9" s="11" t="inlineStr">
        <is>
          <t>Febrero</t>
        </is>
      </c>
      <c r="B9" s="40" t="n">
        <v>2</v>
      </c>
      <c r="C9" s="25">
        <f>SUMIFS(Ingresos!$F$8:$F$157,Ingresos!$L$8:$L$157,Parámetros!$B$10,Ingresos!$M$8:$M$157,$B9)</f>
        <v/>
      </c>
      <c r="D9" s="25">
        <f>SUMIFS(Ingresos!$G$8:$G$157,Ingresos!$L$8:$L$157,Parámetros!$B$10,Ingresos!$M$8:$M$157,$B9)</f>
        <v/>
      </c>
      <c r="E9" s="25">
        <f>SUMIFS(Gastos!$I$8:$I$257,Gastos!$S$8:$S$257,Parámetros!$B$10,Gastos!$T$8:$T$257,$B9)</f>
        <v/>
      </c>
      <c r="F9" s="25">
        <f>SUMIFS(Gastos!$K$8:$K$257,Gastos!$S$8:$S$257,Parámetros!$B$10,Gastos!$T$8:$T$257,$B9)</f>
        <v/>
      </c>
      <c r="G9" s="25">
        <f>$J8</f>
        <v/>
      </c>
      <c r="H9" s="25">
        <f>$D9-$F9-$G9</f>
        <v/>
      </c>
      <c r="I9" s="25">
        <f>MAX(0,$H9)</f>
        <v/>
      </c>
      <c r="J9" s="25">
        <f>MAX(0,-$H9)</f>
        <v/>
      </c>
      <c r="K9" s="25">
        <f>SUMIFS(Ingresos!$F$8:$F$157,Ingresos!$N$8:$N$157,Parámetros!$B$10,Ingresos!$O$8:$O$157,$B9)</f>
        <v/>
      </c>
      <c r="L9" s="25">
        <f>ROUND($K9*Parámetros!$B$15,0)</f>
        <v/>
      </c>
      <c r="M9" s="25">
        <f>SUMIFS(Gastos!$L$8:$L$257,Gastos!$U$8:$U$257,Parámetros!$B$10,Gastos!$V$8:$V$257,$B9)</f>
        <v/>
      </c>
      <c r="N9" s="43">
        <f>$I9+$L9+$M9</f>
        <v/>
      </c>
      <c r="O9" s="46" t="inlineStr">
        <is>
          <t>Marzo</t>
        </is>
      </c>
    </row>
    <row r="10">
      <c r="A10" s="11" t="inlineStr">
        <is>
          <t>Marzo</t>
        </is>
      </c>
      <c r="B10" s="40" t="n">
        <v>3</v>
      </c>
      <c r="C10" s="25">
        <f>SUMIFS(Ingresos!$F$8:$F$157,Ingresos!$L$8:$L$157,Parámetros!$B$10,Ingresos!$M$8:$M$157,$B10)</f>
        <v/>
      </c>
      <c r="D10" s="25">
        <f>SUMIFS(Ingresos!$G$8:$G$157,Ingresos!$L$8:$L$157,Parámetros!$B$10,Ingresos!$M$8:$M$157,$B10)</f>
        <v/>
      </c>
      <c r="E10" s="25">
        <f>SUMIFS(Gastos!$I$8:$I$257,Gastos!$S$8:$S$257,Parámetros!$B$10,Gastos!$T$8:$T$257,$B10)</f>
        <v/>
      </c>
      <c r="F10" s="25">
        <f>SUMIFS(Gastos!$K$8:$K$257,Gastos!$S$8:$S$257,Parámetros!$B$10,Gastos!$T$8:$T$257,$B10)</f>
        <v/>
      </c>
      <c r="G10" s="25">
        <f>$J9</f>
        <v/>
      </c>
      <c r="H10" s="25">
        <f>$D10-$F10-$G10</f>
        <v/>
      </c>
      <c r="I10" s="25">
        <f>MAX(0,$H10)</f>
        <v/>
      </c>
      <c r="J10" s="25">
        <f>MAX(0,-$H10)</f>
        <v/>
      </c>
      <c r="K10" s="25">
        <f>SUMIFS(Ingresos!$F$8:$F$157,Ingresos!$N$8:$N$157,Parámetros!$B$10,Ingresos!$O$8:$O$157,$B10)</f>
        <v/>
      </c>
      <c r="L10" s="25">
        <f>ROUND($K10*Parámetros!$B$15,0)</f>
        <v/>
      </c>
      <c r="M10" s="25">
        <f>SUMIFS(Gastos!$L$8:$L$257,Gastos!$U$8:$U$257,Parámetros!$B$10,Gastos!$V$8:$V$257,$B10)</f>
        <v/>
      </c>
      <c r="N10" s="43">
        <f>$I10+$L10+$M10</f>
        <v/>
      </c>
      <c r="O10" s="46" t="inlineStr">
        <is>
          <t>Abril</t>
        </is>
      </c>
    </row>
    <row r="11">
      <c r="A11" s="11" t="inlineStr">
        <is>
          <t>Abril</t>
        </is>
      </c>
      <c r="B11" s="40" t="n">
        <v>4</v>
      </c>
      <c r="C11" s="25">
        <f>SUMIFS(Ingresos!$F$8:$F$157,Ingresos!$L$8:$L$157,Parámetros!$B$10,Ingresos!$M$8:$M$157,$B11)</f>
        <v/>
      </c>
      <c r="D11" s="25">
        <f>SUMIFS(Ingresos!$G$8:$G$157,Ingresos!$L$8:$L$157,Parámetros!$B$10,Ingresos!$M$8:$M$157,$B11)</f>
        <v/>
      </c>
      <c r="E11" s="25">
        <f>SUMIFS(Gastos!$I$8:$I$257,Gastos!$S$8:$S$257,Parámetros!$B$10,Gastos!$T$8:$T$257,$B11)</f>
        <v/>
      </c>
      <c r="F11" s="25">
        <f>SUMIFS(Gastos!$K$8:$K$257,Gastos!$S$8:$S$257,Parámetros!$B$10,Gastos!$T$8:$T$257,$B11)</f>
        <v/>
      </c>
      <c r="G11" s="25">
        <f>$J10</f>
        <v/>
      </c>
      <c r="H11" s="25">
        <f>$D11-$F11-$G11</f>
        <v/>
      </c>
      <c r="I11" s="25">
        <f>MAX(0,$H11)</f>
        <v/>
      </c>
      <c r="J11" s="25">
        <f>MAX(0,-$H11)</f>
        <v/>
      </c>
      <c r="K11" s="25">
        <f>SUMIFS(Ingresos!$F$8:$F$157,Ingresos!$N$8:$N$157,Parámetros!$B$10,Ingresos!$O$8:$O$157,$B11)</f>
        <v/>
      </c>
      <c r="L11" s="25">
        <f>ROUND($K11*Parámetros!$B$15,0)</f>
        <v/>
      </c>
      <c r="M11" s="25">
        <f>SUMIFS(Gastos!$L$8:$L$257,Gastos!$U$8:$U$257,Parámetros!$B$10,Gastos!$V$8:$V$257,$B11)</f>
        <v/>
      </c>
      <c r="N11" s="43">
        <f>$I11+$L11+$M11</f>
        <v/>
      </c>
      <c r="O11" s="46" t="inlineStr">
        <is>
          <t>Mayo</t>
        </is>
      </c>
    </row>
    <row r="12">
      <c r="A12" s="11" t="inlineStr">
        <is>
          <t>Mayo</t>
        </is>
      </c>
      <c r="B12" s="40" t="n">
        <v>5</v>
      </c>
      <c r="C12" s="25">
        <f>SUMIFS(Ingresos!$F$8:$F$157,Ingresos!$L$8:$L$157,Parámetros!$B$10,Ingresos!$M$8:$M$157,$B12)</f>
        <v/>
      </c>
      <c r="D12" s="25">
        <f>SUMIFS(Ingresos!$G$8:$G$157,Ingresos!$L$8:$L$157,Parámetros!$B$10,Ingresos!$M$8:$M$157,$B12)</f>
        <v/>
      </c>
      <c r="E12" s="25">
        <f>SUMIFS(Gastos!$I$8:$I$257,Gastos!$S$8:$S$257,Parámetros!$B$10,Gastos!$T$8:$T$257,$B12)</f>
        <v/>
      </c>
      <c r="F12" s="25">
        <f>SUMIFS(Gastos!$K$8:$K$257,Gastos!$S$8:$S$257,Parámetros!$B$10,Gastos!$T$8:$T$257,$B12)</f>
        <v/>
      </c>
      <c r="G12" s="25">
        <f>$J11</f>
        <v/>
      </c>
      <c r="H12" s="25">
        <f>$D12-$F12-$G12</f>
        <v/>
      </c>
      <c r="I12" s="25">
        <f>MAX(0,$H12)</f>
        <v/>
      </c>
      <c r="J12" s="25">
        <f>MAX(0,-$H12)</f>
        <v/>
      </c>
      <c r="K12" s="25">
        <f>SUMIFS(Ingresos!$F$8:$F$157,Ingresos!$N$8:$N$157,Parámetros!$B$10,Ingresos!$O$8:$O$157,$B12)</f>
        <v/>
      </c>
      <c r="L12" s="25">
        <f>ROUND($K12*Parámetros!$B$15,0)</f>
        <v/>
      </c>
      <c r="M12" s="25">
        <f>SUMIFS(Gastos!$L$8:$L$257,Gastos!$U$8:$U$257,Parámetros!$B$10,Gastos!$V$8:$V$257,$B12)</f>
        <v/>
      </c>
      <c r="N12" s="43">
        <f>$I12+$L12+$M12</f>
        <v/>
      </c>
      <c r="O12" s="46" t="inlineStr">
        <is>
          <t>Junio</t>
        </is>
      </c>
    </row>
    <row r="13">
      <c r="A13" s="11" t="inlineStr">
        <is>
          <t>Junio</t>
        </is>
      </c>
      <c r="B13" s="40" t="n">
        <v>6</v>
      </c>
      <c r="C13" s="25">
        <f>SUMIFS(Ingresos!$F$8:$F$157,Ingresos!$L$8:$L$157,Parámetros!$B$10,Ingresos!$M$8:$M$157,$B13)</f>
        <v/>
      </c>
      <c r="D13" s="25">
        <f>SUMIFS(Ingresos!$G$8:$G$157,Ingresos!$L$8:$L$157,Parámetros!$B$10,Ingresos!$M$8:$M$157,$B13)</f>
        <v/>
      </c>
      <c r="E13" s="25">
        <f>SUMIFS(Gastos!$I$8:$I$257,Gastos!$S$8:$S$257,Parámetros!$B$10,Gastos!$T$8:$T$257,$B13)</f>
        <v/>
      </c>
      <c r="F13" s="25">
        <f>SUMIFS(Gastos!$K$8:$K$257,Gastos!$S$8:$S$257,Parámetros!$B$10,Gastos!$T$8:$T$257,$B13)</f>
        <v/>
      </c>
      <c r="G13" s="25">
        <f>$J12</f>
        <v/>
      </c>
      <c r="H13" s="25">
        <f>$D13-$F13-$G13</f>
        <v/>
      </c>
      <c r="I13" s="25">
        <f>MAX(0,$H13)</f>
        <v/>
      </c>
      <c r="J13" s="25">
        <f>MAX(0,-$H13)</f>
        <v/>
      </c>
      <c r="K13" s="25">
        <f>SUMIFS(Ingresos!$F$8:$F$157,Ingresos!$N$8:$N$157,Parámetros!$B$10,Ingresos!$O$8:$O$157,$B13)</f>
        <v/>
      </c>
      <c r="L13" s="25">
        <f>ROUND($K13*Parámetros!$B$15,0)</f>
        <v/>
      </c>
      <c r="M13" s="25">
        <f>SUMIFS(Gastos!$L$8:$L$257,Gastos!$U$8:$U$257,Parámetros!$B$10,Gastos!$V$8:$V$257,$B13)</f>
        <v/>
      </c>
      <c r="N13" s="43">
        <f>$I13+$L13+$M13</f>
        <v/>
      </c>
      <c r="O13" s="46" t="inlineStr">
        <is>
          <t>Julio</t>
        </is>
      </c>
    </row>
    <row r="14">
      <c r="A14" s="11" t="inlineStr">
        <is>
          <t>Julio</t>
        </is>
      </c>
      <c r="B14" s="40" t="n">
        <v>7</v>
      </c>
      <c r="C14" s="25">
        <f>SUMIFS(Ingresos!$F$8:$F$157,Ingresos!$L$8:$L$157,Parámetros!$B$10,Ingresos!$M$8:$M$157,$B14)</f>
        <v/>
      </c>
      <c r="D14" s="25">
        <f>SUMIFS(Ingresos!$G$8:$G$157,Ingresos!$L$8:$L$157,Parámetros!$B$10,Ingresos!$M$8:$M$157,$B14)</f>
        <v/>
      </c>
      <c r="E14" s="25">
        <f>SUMIFS(Gastos!$I$8:$I$257,Gastos!$S$8:$S$257,Parámetros!$B$10,Gastos!$T$8:$T$257,$B14)</f>
        <v/>
      </c>
      <c r="F14" s="25">
        <f>SUMIFS(Gastos!$K$8:$K$257,Gastos!$S$8:$S$257,Parámetros!$B$10,Gastos!$T$8:$T$257,$B14)</f>
        <v/>
      </c>
      <c r="G14" s="25">
        <f>$J13</f>
        <v/>
      </c>
      <c r="H14" s="25">
        <f>$D14-$F14-$G14</f>
        <v/>
      </c>
      <c r="I14" s="25">
        <f>MAX(0,$H14)</f>
        <v/>
      </c>
      <c r="J14" s="25">
        <f>MAX(0,-$H14)</f>
        <v/>
      </c>
      <c r="K14" s="25">
        <f>SUMIFS(Ingresos!$F$8:$F$157,Ingresos!$N$8:$N$157,Parámetros!$B$10,Ingresos!$O$8:$O$157,$B14)</f>
        <v/>
      </c>
      <c r="L14" s="25">
        <f>ROUND($K14*Parámetros!$B$15,0)</f>
        <v/>
      </c>
      <c r="M14" s="25">
        <f>SUMIFS(Gastos!$L$8:$L$257,Gastos!$U$8:$U$257,Parámetros!$B$10,Gastos!$V$8:$V$257,$B14)</f>
        <v/>
      </c>
      <c r="N14" s="43">
        <f>$I14+$L14+$M14</f>
        <v/>
      </c>
      <c r="O14" s="46" t="inlineStr">
        <is>
          <t>Agosto</t>
        </is>
      </c>
    </row>
    <row r="15">
      <c r="A15" s="11" t="inlineStr">
        <is>
          <t>Agosto</t>
        </is>
      </c>
      <c r="B15" s="40" t="n">
        <v>8</v>
      </c>
      <c r="C15" s="25">
        <f>SUMIFS(Ingresos!$F$8:$F$157,Ingresos!$L$8:$L$157,Parámetros!$B$10,Ingresos!$M$8:$M$157,$B15)</f>
        <v/>
      </c>
      <c r="D15" s="25">
        <f>SUMIFS(Ingresos!$G$8:$G$157,Ingresos!$L$8:$L$157,Parámetros!$B$10,Ingresos!$M$8:$M$157,$B15)</f>
        <v/>
      </c>
      <c r="E15" s="25">
        <f>SUMIFS(Gastos!$I$8:$I$257,Gastos!$S$8:$S$257,Parámetros!$B$10,Gastos!$T$8:$T$257,$B15)</f>
        <v/>
      </c>
      <c r="F15" s="25">
        <f>SUMIFS(Gastos!$K$8:$K$257,Gastos!$S$8:$S$257,Parámetros!$B$10,Gastos!$T$8:$T$257,$B15)</f>
        <v/>
      </c>
      <c r="G15" s="25">
        <f>$J14</f>
        <v/>
      </c>
      <c r="H15" s="25">
        <f>$D15-$F15-$G15</f>
        <v/>
      </c>
      <c r="I15" s="25">
        <f>MAX(0,$H15)</f>
        <v/>
      </c>
      <c r="J15" s="25">
        <f>MAX(0,-$H15)</f>
        <v/>
      </c>
      <c r="K15" s="25">
        <f>SUMIFS(Ingresos!$F$8:$F$157,Ingresos!$N$8:$N$157,Parámetros!$B$10,Ingresos!$O$8:$O$157,$B15)</f>
        <v/>
      </c>
      <c r="L15" s="25">
        <f>ROUND($K15*Parámetros!$B$15,0)</f>
        <v/>
      </c>
      <c r="M15" s="25">
        <f>SUMIFS(Gastos!$L$8:$L$257,Gastos!$U$8:$U$257,Parámetros!$B$10,Gastos!$V$8:$V$257,$B15)</f>
        <v/>
      </c>
      <c r="N15" s="43">
        <f>$I15+$L15+$M15</f>
        <v/>
      </c>
      <c r="O15" s="46" t="inlineStr">
        <is>
          <t>Septiembre</t>
        </is>
      </c>
    </row>
    <row r="16">
      <c r="A16" s="11" t="inlineStr">
        <is>
          <t>Septiembre</t>
        </is>
      </c>
      <c r="B16" s="40" t="n">
        <v>9</v>
      </c>
      <c r="C16" s="25">
        <f>SUMIFS(Ingresos!$F$8:$F$157,Ingresos!$L$8:$L$157,Parámetros!$B$10,Ingresos!$M$8:$M$157,$B16)</f>
        <v/>
      </c>
      <c r="D16" s="25">
        <f>SUMIFS(Ingresos!$G$8:$G$157,Ingresos!$L$8:$L$157,Parámetros!$B$10,Ingresos!$M$8:$M$157,$B16)</f>
        <v/>
      </c>
      <c r="E16" s="25">
        <f>SUMIFS(Gastos!$I$8:$I$257,Gastos!$S$8:$S$257,Parámetros!$B$10,Gastos!$T$8:$T$257,$B16)</f>
        <v/>
      </c>
      <c r="F16" s="25">
        <f>SUMIFS(Gastos!$K$8:$K$257,Gastos!$S$8:$S$257,Parámetros!$B$10,Gastos!$T$8:$T$257,$B16)</f>
        <v/>
      </c>
      <c r="G16" s="25">
        <f>$J15</f>
        <v/>
      </c>
      <c r="H16" s="25">
        <f>$D16-$F16-$G16</f>
        <v/>
      </c>
      <c r="I16" s="25">
        <f>MAX(0,$H16)</f>
        <v/>
      </c>
      <c r="J16" s="25">
        <f>MAX(0,-$H16)</f>
        <v/>
      </c>
      <c r="K16" s="25">
        <f>SUMIFS(Ingresos!$F$8:$F$157,Ingresos!$N$8:$N$157,Parámetros!$B$10,Ingresos!$O$8:$O$157,$B16)</f>
        <v/>
      </c>
      <c r="L16" s="25">
        <f>ROUND($K16*Parámetros!$B$15,0)</f>
        <v/>
      </c>
      <c r="M16" s="25">
        <f>SUMIFS(Gastos!$L$8:$L$257,Gastos!$U$8:$U$257,Parámetros!$B$10,Gastos!$V$8:$V$257,$B16)</f>
        <v/>
      </c>
      <c r="N16" s="43">
        <f>$I16+$L16+$M16</f>
        <v/>
      </c>
      <c r="O16" s="46" t="inlineStr">
        <is>
          <t>Octubre</t>
        </is>
      </c>
    </row>
    <row r="17">
      <c r="A17" s="11" t="inlineStr">
        <is>
          <t>Octubre</t>
        </is>
      </c>
      <c r="B17" s="40" t="n">
        <v>10</v>
      </c>
      <c r="C17" s="25">
        <f>SUMIFS(Ingresos!$F$8:$F$157,Ingresos!$L$8:$L$157,Parámetros!$B$10,Ingresos!$M$8:$M$157,$B17)</f>
        <v/>
      </c>
      <c r="D17" s="25">
        <f>SUMIFS(Ingresos!$G$8:$G$157,Ingresos!$L$8:$L$157,Parámetros!$B$10,Ingresos!$M$8:$M$157,$B17)</f>
        <v/>
      </c>
      <c r="E17" s="25">
        <f>SUMIFS(Gastos!$I$8:$I$257,Gastos!$S$8:$S$257,Parámetros!$B$10,Gastos!$T$8:$T$257,$B17)</f>
        <v/>
      </c>
      <c r="F17" s="25">
        <f>SUMIFS(Gastos!$K$8:$K$257,Gastos!$S$8:$S$257,Parámetros!$B$10,Gastos!$T$8:$T$257,$B17)</f>
        <v/>
      </c>
      <c r="G17" s="25">
        <f>$J16</f>
        <v/>
      </c>
      <c r="H17" s="25">
        <f>$D17-$F17-$G17</f>
        <v/>
      </c>
      <c r="I17" s="25">
        <f>MAX(0,$H17)</f>
        <v/>
      </c>
      <c r="J17" s="25">
        <f>MAX(0,-$H17)</f>
        <v/>
      </c>
      <c r="K17" s="25">
        <f>SUMIFS(Ingresos!$F$8:$F$157,Ingresos!$N$8:$N$157,Parámetros!$B$10,Ingresos!$O$8:$O$157,$B17)</f>
        <v/>
      </c>
      <c r="L17" s="25">
        <f>ROUND($K17*Parámetros!$B$15,0)</f>
        <v/>
      </c>
      <c r="M17" s="25">
        <f>SUMIFS(Gastos!$L$8:$L$257,Gastos!$U$8:$U$257,Parámetros!$B$10,Gastos!$V$8:$V$257,$B17)</f>
        <v/>
      </c>
      <c r="N17" s="43">
        <f>$I17+$L17+$M17</f>
        <v/>
      </c>
      <c r="O17" s="46" t="inlineStr">
        <is>
          <t>Noviembre</t>
        </is>
      </c>
    </row>
    <row r="18">
      <c r="A18" s="11" t="inlineStr">
        <is>
          <t>Noviembre</t>
        </is>
      </c>
      <c r="B18" s="40" t="n">
        <v>11</v>
      </c>
      <c r="C18" s="25">
        <f>SUMIFS(Ingresos!$F$8:$F$157,Ingresos!$L$8:$L$157,Parámetros!$B$10,Ingresos!$M$8:$M$157,$B18)</f>
        <v/>
      </c>
      <c r="D18" s="25">
        <f>SUMIFS(Ingresos!$G$8:$G$157,Ingresos!$L$8:$L$157,Parámetros!$B$10,Ingresos!$M$8:$M$157,$B18)</f>
        <v/>
      </c>
      <c r="E18" s="25">
        <f>SUMIFS(Gastos!$I$8:$I$257,Gastos!$S$8:$S$257,Parámetros!$B$10,Gastos!$T$8:$T$257,$B18)</f>
        <v/>
      </c>
      <c r="F18" s="25">
        <f>SUMIFS(Gastos!$K$8:$K$257,Gastos!$S$8:$S$257,Parámetros!$B$10,Gastos!$T$8:$T$257,$B18)</f>
        <v/>
      </c>
      <c r="G18" s="25">
        <f>$J17</f>
        <v/>
      </c>
      <c r="H18" s="25">
        <f>$D18-$F18-$G18</f>
        <v/>
      </c>
      <c r="I18" s="25">
        <f>MAX(0,$H18)</f>
        <v/>
      </c>
      <c r="J18" s="25">
        <f>MAX(0,-$H18)</f>
        <v/>
      </c>
      <c r="K18" s="25">
        <f>SUMIFS(Ingresos!$F$8:$F$157,Ingresos!$N$8:$N$157,Parámetros!$B$10,Ingresos!$O$8:$O$157,$B18)</f>
        <v/>
      </c>
      <c r="L18" s="25">
        <f>ROUND($K18*Parámetros!$B$15,0)</f>
        <v/>
      </c>
      <c r="M18" s="25">
        <f>SUMIFS(Gastos!$L$8:$L$257,Gastos!$U$8:$U$257,Parámetros!$B$10,Gastos!$V$8:$V$257,$B18)</f>
        <v/>
      </c>
      <c r="N18" s="43">
        <f>$I18+$L18+$M18</f>
        <v/>
      </c>
      <c r="O18" s="46" t="inlineStr">
        <is>
          <t>Diciembre</t>
        </is>
      </c>
    </row>
    <row r="19">
      <c r="A19" s="11" t="inlineStr">
        <is>
          <t>Diciembre</t>
        </is>
      </c>
      <c r="B19" s="40" t="n">
        <v>12</v>
      </c>
      <c r="C19" s="25">
        <f>SUMIFS(Ingresos!$F$8:$F$157,Ingresos!$L$8:$L$157,Parámetros!$B$10,Ingresos!$M$8:$M$157,$B19)</f>
        <v/>
      </c>
      <c r="D19" s="25">
        <f>SUMIFS(Ingresos!$G$8:$G$157,Ingresos!$L$8:$L$157,Parámetros!$B$10,Ingresos!$M$8:$M$157,$B19)</f>
        <v/>
      </c>
      <c r="E19" s="25">
        <f>SUMIFS(Gastos!$I$8:$I$257,Gastos!$S$8:$S$257,Parámetros!$B$10,Gastos!$T$8:$T$257,$B19)</f>
        <v/>
      </c>
      <c r="F19" s="25">
        <f>SUMIFS(Gastos!$K$8:$K$257,Gastos!$S$8:$S$257,Parámetros!$B$10,Gastos!$T$8:$T$257,$B19)</f>
        <v/>
      </c>
      <c r="G19" s="25">
        <f>$J18</f>
        <v/>
      </c>
      <c r="H19" s="25">
        <f>$D19-$F19-$G19</f>
        <v/>
      </c>
      <c r="I19" s="25">
        <f>MAX(0,$H19)</f>
        <v/>
      </c>
      <c r="J19" s="25">
        <f>MAX(0,-$H19)</f>
        <v/>
      </c>
      <c r="K19" s="25">
        <f>SUMIFS(Ingresos!$F$8:$F$157,Ingresos!$N$8:$N$157,Parámetros!$B$10,Ingresos!$O$8:$O$157,$B19)</f>
        <v/>
      </c>
      <c r="L19" s="25">
        <f>ROUND($K19*Parámetros!$B$15,0)</f>
        <v/>
      </c>
      <c r="M19" s="25">
        <f>SUMIFS(Gastos!$L$8:$L$257,Gastos!$U$8:$U$257,Parámetros!$B$10,Gastos!$V$8:$V$257,$B19)</f>
        <v/>
      </c>
      <c r="N19" s="43">
        <f>$I19+$L19+$M19</f>
        <v/>
      </c>
      <c r="O19" s="46" t="inlineStr">
        <is>
          <t>Enero del año siguiente</t>
        </is>
      </c>
    </row>
    <row r="20">
      <c r="A20" s="27" t="inlineStr">
        <is>
          <t>TOTAL AÑO</t>
        </is>
      </c>
      <c r="B20" s="47" t="n"/>
      <c r="C20" s="28">
        <f>SUM(C8:C19)</f>
        <v/>
      </c>
      <c r="D20" s="28">
        <f>SUM(D8:D19)</f>
        <v/>
      </c>
      <c r="E20" s="28">
        <f>SUM(E8:E19)</f>
        <v/>
      </c>
      <c r="F20" s="28">
        <f>SUM(F8:F19)</f>
        <v/>
      </c>
      <c r="G20" s="48" t="n"/>
      <c r="H20" s="48" t="n"/>
      <c r="I20" s="28">
        <f>SUM(I8:I19)</f>
        <v/>
      </c>
      <c r="J20" s="28">
        <f>J19</f>
        <v/>
      </c>
      <c r="K20" s="28">
        <f>SUM(K8:K19)</f>
        <v/>
      </c>
      <c r="L20" s="28">
        <f>SUM(L8:L19)</f>
        <v/>
      </c>
      <c r="M20" s="28">
        <f>SUM(M8:M19)</f>
        <v/>
      </c>
      <c r="N20" s="28">
        <f>SUM(N8:N19)</f>
        <v/>
      </c>
      <c r="O20" s="48" t="n"/>
    </row>
    <row r="22">
      <c r="A22" s="16" t="inlineStr">
        <is>
          <t>Remanente: cuando el crédito fiscal supera al débito, la diferencia no se pierde — se arrastra al mes siguiente. El SII lo reajusta por UTM; acá se arrastra nominal, diferencia menor para efectos de gestión.</t>
        </is>
      </c>
    </row>
    <row r="23">
      <c r="A23" s="16" t="inlineStr">
        <is>
          <t>Retenciones código 153: es la plata que le descontaste al freelance de su boleta de honorarios. No es tuya, la enteras al SII en el F29 del mes en que le pagaste.</t>
        </is>
      </c>
    </row>
  </sheetData>
  <mergeCells count="6">
    <mergeCell ref="A2:L2"/>
    <mergeCell ref="A1:L1"/>
    <mergeCell ref="A5:L5"/>
    <mergeCell ref="A23:L23"/>
    <mergeCell ref="A22:L22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" customWidth="1" min="2" max="2"/>
    <col width="18" customWidth="1" min="3" max="3"/>
    <col width="4" customWidth="1" min="4" max="4"/>
    <col width="30" customWidth="1" min="5" max="5"/>
    <col width="16" customWidth="1" min="6" max="6"/>
    <col width="12" customWidth="1" min="7" max="7"/>
    <col width="4" customWidth="1" min="8" max="8"/>
    <col width="54" customWidth="1" min="9" max="9"/>
  </cols>
  <sheetData>
    <row r="1" ht="26" customHeight="1">
      <c r="A1" s="17" t="inlineStr">
        <is>
          <t>Renta anual</t>
        </is>
      </c>
    </row>
    <row r="2" ht="15" customHeight="1">
      <c r="A2" s="29" t="inlineStr">
        <is>
          <t>Lo que la empresa le debe al SII en abril del año siguiente. Régimen Pro Pyme General: base caja — ingresos percibidos menos gastos pagados.</t>
        </is>
      </c>
    </row>
    <row r="6">
      <c r="A6" s="41" t="inlineStr">
        <is>
          <t>Determinación de la base imponible</t>
        </is>
      </c>
      <c r="E6" s="41" t="inlineStr">
        <is>
          <t>Gastos pagados por categoría</t>
        </is>
      </c>
    </row>
    <row r="7" ht="30" customHeight="1">
      <c r="A7" s="6" t="inlineStr">
        <is>
          <t>Ingresos percibidos en el año</t>
        </is>
      </c>
      <c r="C7" s="25">
        <f>SUMIFS(Ingresos!$F$8:$F$157,Ingresos!$N$8:$N$157,Parámetros!$B$10)</f>
        <v/>
      </c>
      <c r="E7" s="9" t="inlineStr">
        <is>
          <t>Categoría</t>
        </is>
      </c>
      <c r="F7" s="9" t="inlineStr">
        <is>
          <t>Monto ($)</t>
        </is>
      </c>
      <c r="G7" s="9" t="inlineStr">
        <is>
          <t>% del total</t>
        </is>
      </c>
      <c r="I7" s="23" t="inlineStr">
        <is>
          <t>Cobrados de verdad. Una factura emitida y no pagada NO tributa este año.</t>
        </is>
      </c>
    </row>
    <row r="8">
      <c r="A8" s="6" t="inlineStr">
        <is>
          <t>(−) Gastos pagados y aceptados</t>
        </is>
      </c>
      <c r="C8" s="25">
        <f>-(SUMIFS(Gastos!$M$8:$M$257,Gastos!$U$8:$U$257,Parámetros!$B$10,Gastos!$O$8:$O$257,"Sí")-SUMIFS(Gastos!$K$8:$K$257,Gastos!$U$8:$U$257,Parámetros!$B$10,Gastos!$O$8:$O$257,"Sí"))</f>
        <v/>
      </c>
      <c r="E8" s="49">
        <f>Parámetros!$A$72</f>
        <v/>
      </c>
      <c r="F8" s="25">
        <f>SUMIFS(Gastos!$M$8:$M$257,Gastos!$U$8:$U$257,Parámetros!$B$10,Gastos!$E$8:$E$257,$E8)</f>
        <v/>
      </c>
      <c r="G8" s="45">
        <f>IFERROR($F8/$F$21,0)</f>
        <v/>
      </c>
      <c r="I8" s="23" t="inlineStr">
        <is>
          <t>Total del documento menos el IVA que recuperaste: ese IVA no es gasto, se descuenta en el F29.</t>
        </is>
      </c>
    </row>
    <row r="9">
      <c r="A9" s="42" t="inlineStr">
        <is>
          <t>= Base imponible</t>
        </is>
      </c>
      <c r="C9" s="43">
        <f>C7+C8</f>
        <v/>
      </c>
      <c r="E9" s="49">
        <f>Parámetros!$A$73</f>
        <v/>
      </c>
      <c r="F9" s="25">
        <f>SUMIFS(Gastos!$M$8:$M$257,Gastos!$U$8:$U$257,Parámetros!$B$10,Gastos!$E$8:$E$257,$E9)</f>
        <v/>
      </c>
      <c r="G9" s="45">
        <f>IFERROR($F9/$F$21,0)</f>
        <v/>
      </c>
      <c r="I9" s="23" t="inlineStr">
        <is>
          <t>Si sale negativa, es pérdida tributaria: no pagas 1ª Categoría y la arrastras al año siguiente.</t>
        </is>
      </c>
    </row>
    <row r="10">
      <c r="E10" s="49">
        <f>Parámetros!$A$74</f>
        <v/>
      </c>
      <c r="F10" s="25">
        <f>SUMIFS(Gastos!$M$8:$M$257,Gastos!$U$8:$U$257,Parámetros!$B$10,Gastos!$E$8:$E$257,$E10)</f>
        <v/>
      </c>
      <c r="G10" s="45">
        <f>IFERROR($F10/$F$21,0)</f>
        <v/>
      </c>
    </row>
    <row r="11">
      <c r="A11" s="41" t="inlineStr">
        <is>
          <t>Impuesto de la empresa</t>
        </is>
      </c>
      <c r="E11" s="49">
        <f>Parámetros!$A$75</f>
        <v/>
      </c>
      <c r="F11" s="25">
        <f>SUMIFS(Gastos!$M$8:$M$257,Gastos!$U$8:$U$257,Parámetros!$B$10,Gastos!$E$8:$E$257,$E11)</f>
        <v/>
      </c>
      <c r="G11" s="45">
        <f>IFERROR($F11/$F$21,0)</f>
        <v/>
      </c>
    </row>
    <row r="12">
      <c r="A12" s="6" t="inlineStr">
        <is>
          <t>Impuesto de Primera Categoría</t>
        </is>
      </c>
      <c r="C12" s="25">
        <f>ROUND(MAX(0,C9)*Parámetros!$B$14,0)</f>
        <v/>
      </c>
      <c r="E12" s="49">
        <f>Parámetros!$A$76</f>
        <v/>
      </c>
      <c r="F12" s="25">
        <f>SUMIFS(Gastos!$M$8:$M$257,Gastos!$U$8:$U$257,Parámetros!$B$10,Gastos!$E$8:$E$257,$E12)</f>
        <v/>
      </c>
      <c r="G12" s="45">
        <f>IFERROR($F12/$F$21,0)</f>
        <v/>
      </c>
      <c r="I12" s="23" t="inlineStr">
        <is>
          <t>Sólo sobre base positiva. La tasa vive en Parámetros §2.</t>
        </is>
      </c>
    </row>
    <row r="13">
      <c r="A13" s="6" t="inlineStr">
        <is>
          <t>(−) PPM pagados durante el año</t>
        </is>
      </c>
      <c r="C13" s="24">
        <f>-Mensual!$L$20</f>
        <v/>
      </c>
      <c r="E13" s="49">
        <f>Parámetros!$A$77</f>
        <v/>
      </c>
      <c r="F13" s="25">
        <f>SUMIFS(Gastos!$M$8:$M$257,Gastos!$U$8:$U$257,Parámetros!$B$10,Gastos!$E$8:$E$257,$E13)</f>
        <v/>
      </c>
      <c r="G13" s="45">
        <f>IFERROR($F13/$F$21,0)</f>
        <v/>
      </c>
      <c r="I13" s="23" t="inlineStr">
        <is>
          <t>Los anticipos mensuales que ya enteraste. Vienen de la hoja Mensual.</t>
        </is>
      </c>
    </row>
    <row r="14">
      <c r="A14" s="42" t="inlineStr">
        <is>
          <t>= Saldo a pagar en abril</t>
        </is>
      </c>
      <c r="C14" s="43">
        <f>C12+C13</f>
        <v/>
      </c>
      <c r="E14" s="49">
        <f>Parámetros!$A$78</f>
        <v/>
      </c>
      <c r="F14" s="25">
        <f>SUMIFS(Gastos!$M$8:$M$257,Gastos!$U$8:$U$257,Parámetros!$B$10,Gastos!$E$8:$E$257,$E14)</f>
        <v/>
      </c>
      <c r="G14" s="45">
        <f>IFERROR($F14/$F$21,0)</f>
        <v/>
      </c>
      <c r="I14" s="23" t="inlineStr">
        <is>
          <t>Negativo = el SII te devuelve. Positivo = lo pagas en la Operación Renta de abril.</t>
        </is>
      </c>
    </row>
    <row r="15">
      <c r="E15" s="49">
        <f>Parámetros!$A$79</f>
        <v/>
      </c>
      <c r="F15" s="25">
        <f>SUMIFS(Gastos!$M$8:$M$257,Gastos!$U$8:$U$257,Parámetros!$B$10,Gastos!$E$8:$E$257,$E15)</f>
        <v/>
      </c>
      <c r="G15" s="45">
        <f>IFERROR($F15/$F$21,0)</f>
        <v/>
      </c>
    </row>
    <row r="16">
      <c r="A16" s="41" t="inlineStr">
        <is>
          <t>Qué queda para ti</t>
        </is>
      </c>
      <c r="E16" s="49">
        <f>Parámetros!$A$80</f>
        <v/>
      </c>
      <c r="F16" s="25">
        <f>SUMIFS(Gastos!$M$8:$M$257,Gastos!$U$8:$U$257,Parámetros!$B$10,Gastos!$E$8:$E$257,$E16)</f>
        <v/>
      </c>
      <c r="G16" s="45">
        <f>IFERROR($F16/$F$21,0)</f>
        <v/>
      </c>
    </row>
    <row r="17">
      <c r="A17" s="6" t="inlineStr">
        <is>
          <t>Base imponible</t>
        </is>
      </c>
      <c r="C17" s="25">
        <f>C9</f>
        <v/>
      </c>
      <c r="E17" s="49">
        <f>Parámetros!$A$81</f>
        <v/>
      </c>
      <c r="F17" s="25">
        <f>SUMIFS(Gastos!$M$8:$M$257,Gastos!$U$8:$U$257,Parámetros!$B$10,Gastos!$E$8:$E$257,$E17)</f>
        <v/>
      </c>
      <c r="G17" s="45">
        <f>IFERROR($F17/$F$21,0)</f>
        <v/>
      </c>
      <c r="I17" s="23" t="inlineStr"/>
    </row>
    <row r="18">
      <c r="A18" s="42" t="inlineStr">
        <is>
          <t>= Utilidad después de impuesto</t>
        </is>
      </c>
      <c r="C18" s="43">
        <f>C9-C12</f>
        <v/>
      </c>
      <c r="E18" s="49">
        <f>Parámetros!$A$82</f>
        <v/>
      </c>
      <c r="F18" s="25">
        <f>SUMIFS(Gastos!$M$8:$M$257,Gastos!$U$8:$U$257,Parámetros!$B$10,Gastos!$E$8:$E$257,$E18)</f>
        <v/>
      </c>
      <c r="G18" s="45">
        <f>IFERROR($F18/$F$21,0)</f>
        <v/>
      </c>
      <c r="I18" s="23" t="inlineStr">
        <is>
          <t>Este es el techo sano de lo que puedes retirar en el año.</t>
        </is>
      </c>
    </row>
    <row r="19">
      <c r="A19" s="6" t="inlineStr">
        <is>
          <t>(−) Retiros ya hechos</t>
        </is>
      </c>
      <c r="C19" s="25">
        <f>-SUMIFS(Retiros!$B$8:$B$67,Retiros!$E$8:$E$67,Parámetros!$B$10)</f>
        <v/>
      </c>
      <c r="E19" s="49">
        <f>Parámetros!$A$83</f>
        <v/>
      </c>
      <c r="F19" s="25">
        <f>SUMIFS(Gastos!$M$8:$M$257,Gastos!$U$8:$U$257,Parámetros!$B$10,Gastos!$E$8:$E$257,$E19)</f>
        <v/>
      </c>
      <c r="G19" s="45">
        <f>IFERROR($F19/$F$21,0)</f>
        <v/>
      </c>
      <c r="I19" s="23" t="inlineStr"/>
    </row>
    <row r="20">
      <c r="A20" s="42" t="inlineStr">
        <is>
          <t>= Utilidad que queda en la empresa</t>
        </is>
      </c>
      <c r="C20" s="43">
        <f>C18+C19</f>
        <v/>
      </c>
      <c r="E20" s="49">
        <f>Parámetros!$A$84</f>
        <v/>
      </c>
      <c r="F20" s="25">
        <f>SUMIFS(Gastos!$M$8:$M$257,Gastos!$U$8:$U$257,Parámetros!$B$10,Gastos!$E$8:$E$257,$E20)</f>
        <v/>
      </c>
      <c r="G20" s="45">
        <f>IFERROR($F20/$F$21,0)</f>
        <v/>
      </c>
      <c r="I20" s="23" t="inlineStr">
        <is>
          <t>Capital de trabajo. Si queda en cero y aún tienes gastos por pagar, retiraste de más.</t>
        </is>
      </c>
    </row>
    <row r="21">
      <c r="E21" s="50" t="inlineStr">
        <is>
          <t>TOTAL</t>
        </is>
      </c>
      <c r="F21" s="28">
        <f>SUM(F8:F20)</f>
        <v/>
      </c>
      <c r="G21" s="51">
        <f>IFERROR(F21/F21,0)</f>
        <v/>
      </c>
    </row>
    <row r="23">
      <c r="A23" s="16" t="inlineStr">
        <is>
          <t>⚠ Esta hoja calcula el impuesto de la EMPRESA. El impuesto que pagas TÚ por los retiros se estima en la hoja Retiros. Son dos cosas distintas y las dos hay que pagarlas.</t>
        </is>
      </c>
    </row>
    <row r="24" ht="28" customHeight="1">
      <c r="A24" s="16" t="inlineStr">
        <is>
          <t>Falta acá, a propósito, todo lo que exige contabilidad formal: corrección monetaria, depreciación del activo fijo y arrastre de pérdidas de años anteriores. Para una empresa de servicios sin activos pesados la diferencia es chica, pero el número oficial siempre lo firma tu contador.</t>
        </is>
      </c>
    </row>
  </sheetData>
  <mergeCells count="8">
    <mergeCell ref="A11:C11"/>
    <mergeCell ref="A2:I2"/>
    <mergeCell ref="A6:C6"/>
    <mergeCell ref="A1:I1"/>
    <mergeCell ref="A23:I23"/>
    <mergeCell ref="E6:G6"/>
    <mergeCell ref="A24:I24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J2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7" customWidth="1" min="3" max="3"/>
    <col width="17" customWidth="1" min="4" max="4"/>
    <col width="19" customWidth="1" min="5" max="5"/>
    <col width="17" customWidth="1" min="6" max="6"/>
    <col width="14" customWidth="1" min="7" max="7"/>
    <col width="17" customWidth="1" min="8" max="8"/>
    <col width="4" customWidth="1" min="9" max="9"/>
    <col width="50" customWidth="1" min="10" max="10"/>
  </cols>
  <sheetData>
    <row r="1" ht="26" customHeight="1">
      <c r="A1" s="17" t="inlineStr">
        <is>
          <t>Flujo de caja</t>
        </is>
      </c>
    </row>
    <row r="2" ht="15" customHeight="1">
      <c r="A2" s="29" t="inlineStr">
        <is>
          <t>La plata de verdad, mes a mes. No mide si ganaste: mide si tienes con qué pagar.</t>
        </is>
      </c>
    </row>
    <row r="4">
      <c r="A4" s="16" t="inlineStr">
        <is>
          <t>Se mueve con fechas de PAGO, no de emisión. Una factura enorme emitida en marzo y cobrada en junio aparece en junio.</t>
        </is>
      </c>
    </row>
    <row r="7" ht="30" customHeight="1">
      <c r="A7" s="9" t="inlineStr">
        <is>
          <t>Mes</t>
        </is>
      </c>
      <c r="B7" s="9" t="inlineStr">
        <is>
          <t>N°</t>
        </is>
      </c>
      <c r="C7" s="9" t="inlineStr">
        <is>
          <t>Saldo inicial</t>
        </is>
      </c>
      <c r="D7" s="9" t="inlineStr">
        <is>
          <t>Cobros de clientes</t>
        </is>
      </c>
      <c r="E7" s="9" t="inlineStr">
        <is>
          <t>Pagos a proveedores</t>
        </is>
      </c>
      <c r="F7" s="9" t="inlineStr">
        <is>
          <t>Impuestos (F29)</t>
        </is>
      </c>
      <c r="G7" s="9" t="inlineStr">
        <is>
          <t>Retiros</t>
        </is>
      </c>
      <c r="H7" s="9" t="inlineStr">
        <is>
          <t>Saldo final</t>
        </is>
      </c>
    </row>
    <row r="8">
      <c r="A8" s="11" t="inlineStr">
        <is>
          <t>Enero</t>
        </is>
      </c>
      <c r="B8" s="40" t="n">
        <v>1</v>
      </c>
      <c r="C8" s="24">
        <f>Parámetros!$B$21</f>
        <v/>
      </c>
      <c r="D8" s="25">
        <f>SUMIFS(Ingresos!$H$8:$H$157,Ingresos!$N$8:$N$157,Parámetros!$B$10,Ingresos!$O$8:$O$157,$B8)</f>
        <v/>
      </c>
      <c r="E8" s="25">
        <f>-SUMIFS(Gastos!$N$8:$N$257,Gastos!$U$8:$U$257,Parámetros!$B$10,Gastos!$V$8:$V$257,$B8)</f>
        <v/>
      </c>
      <c r="F8" s="25">
        <f>0</f>
        <v/>
      </c>
      <c r="G8" s="25">
        <f>-SUMIFS(Retiros!$B$8:$B$67,Retiros!$E$8:$E$67,Parámetros!$B$10,Retiros!$F$8:$F$67,$B8)</f>
        <v/>
      </c>
      <c r="H8" s="43">
        <f>$C8+$D8+$E8+$F8+$G8</f>
        <v/>
      </c>
      <c r="J8" s="16" t="inlineStr">
        <is>
          <t>El F29 de enero se paga en febrero, así que la fila de enero no lleva impuesto y la de diciembre deja pendiente su propio F29 para enero del año siguiente.</t>
        </is>
      </c>
    </row>
    <row r="9">
      <c r="A9" s="11" t="inlineStr">
        <is>
          <t>Febrero</t>
        </is>
      </c>
      <c r="B9" s="40" t="n">
        <v>2</v>
      </c>
      <c r="C9" s="25">
        <f>$H8</f>
        <v/>
      </c>
      <c r="D9" s="25">
        <f>SUMIFS(Ingresos!$H$8:$H$157,Ingresos!$N$8:$N$157,Parámetros!$B$10,Ingresos!$O$8:$O$157,$B9)</f>
        <v/>
      </c>
      <c r="E9" s="25">
        <f>-SUMIFS(Gastos!$N$8:$N$257,Gastos!$U$8:$U$257,Parámetros!$B$10,Gastos!$V$8:$V$257,$B9)</f>
        <v/>
      </c>
      <c r="F9" s="24">
        <f>-Mensual!$N8</f>
        <v/>
      </c>
      <c r="G9" s="25">
        <f>-SUMIFS(Retiros!$B$8:$B$67,Retiros!$E$8:$E$67,Parámetros!$B$10,Retiros!$F$8:$F$67,$B9)</f>
        <v/>
      </c>
      <c r="H9" s="43">
        <f>$C9+$D9+$E9+$F9+$G9</f>
        <v/>
      </c>
    </row>
    <row r="10">
      <c r="A10" s="11" t="inlineStr">
        <is>
          <t>Marzo</t>
        </is>
      </c>
      <c r="B10" s="40" t="n">
        <v>3</v>
      </c>
      <c r="C10" s="25">
        <f>$H9</f>
        <v/>
      </c>
      <c r="D10" s="25">
        <f>SUMIFS(Ingresos!$H$8:$H$157,Ingresos!$N$8:$N$157,Parámetros!$B$10,Ingresos!$O$8:$O$157,$B10)</f>
        <v/>
      </c>
      <c r="E10" s="25">
        <f>-SUMIFS(Gastos!$N$8:$N$257,Gastos!$U$8:$U$257,Parámetros!$B$10,Gastos!$V$8:$V$257,$B10)</f>
        <v/>
      </c>
      <c r="F10" s="24">
        <f>-Mensual!$N9</f>
        <v/>
      </c>
      <c r="G10" s="25">
        <f>-SUMIFS(Retiros!$B$8:$B$67,Retiros!$E$8:$E$67,Parámetros!$B$10,Retiros!$F$8:$F$67,$B10)</f>
        <v/>
      </c>
      <c r="H10" s="43">
        <f>$C10+$D10+$E10+$F10+$G10</f>
        <v/>
      </c>
    </row>
    <row r="11">
      <c r="A11" s="11" t="inlineStr">
        <is>
          <t>Abril</t>
        </is>
      </c>
      <c r="B11" s="40" t="n">
        <v>4</v>
      </c>
      <c r="C11" s="25">
        <f>$H10</f>
        <v/>
      </c>
      <c r="D11" s="25">
        <f>SUMIFS(Ingresos!$H$8:$H$157,Ingresos!$N$8:$N$157,Parámetros!$B$10,Ingresos!$O$8:$O$157,$B11)</f>
        <v/>
      </c>
      <c r="E11" s="25">
        <f>-SUMIFS(Gastos!$N$8:$N$257,Gastos!$U$8:$U$257,Parámetros!$B$10,Gastos!$V$8:$V$257,$B11)</f>
        <v/>
      </c>
      <c r="F11" s="24">
        <f>-Mensual!$N10</f>
        <v/>
      </c>
      <c r="G11" s="25">
        <f>-SUMIFS(Retiros!$B$8:$B$67,Retiros!$E$8:$E$67,Parámetros!$B$10,Retiros!$F$8:$F$67,$B11)</f>
        <v/>
      </c>
      <c r="H11" s="43">
        <f>$C11+$D11+$E11+$F11+$G11</f>
        <v/>
      </c>
    </row>
    <row r="12">
      <c r="A12" s="11" t="inlineStr">
        <is>
          <t>Mayo</t>
        </is>
      </c>
      <c r="B12" s="40" t="n">
        <v>5</v>
      </c>
      <c r="C12" s="25">
        <f>$H11</f>
        <v/>
      </c>
      <c r="D12" s="25">
        <f>SUMIFS(Ingresos!$H$8:$H$157,Ingresos!$N$8:$N$157,Parámetros!$B$10,Ingresos!$O$8:$O$157,$B12)</f>
        <v/>
      </c>
      <c r="E12" s="25">
        <f>-SUMIFS(Gastos!$N$8:$N$257,Gastos!$U$8:$U$257,Parámetros!$B$10,Gastos!$V$8:$V$257,$B12)</f>
        <v/>
      </c>
      <c r="F12" s="24">
        <f>-Mensual!$N11</f>
        <v/>
      </c>
      <c r="G12" s="25">
        <f>-SUMIFS(Retiros!$B$8:$B$67,Retiros!$E$8:$E$67,Parámetros!$B$10,Retiros!$F$8:$F$67,$B12)</f>
        <v/>
      </c>
      <c r="H12" s="43">
        <f>$C12+$D12+$E12+$F12+$G12</f>
        <v/>
      </c>
    </row>
    <row r="13">
      <c r="A13" s="11" t="inlineStr">
        <is>
          <t>Junio</t>
        </is>
      </c>
      <c r="B13" s="40" t="n">
        <v>6</v>
      </c>
      <c r="C13" s="25">
        <f>$H12</f>
        <v/>
      </c>
      <c r="D13" s="25">
        <f>SUMIFS(Ingresos!$H$8:$H$157,Ingresos!$N$8:$N$157,Parámetros!$B$10,Ingresos!$O$8:$O$157,$B13)</f>
        <v/>
      </c>
      <c r="E13" s="25">
        <f>-SUMIFS(Gastos!$N$8:$N$257,Gastos!$U$8:$U$257,Parámetros!$B$10,Gastos!$V$8:$V$257,$B13)</f>
        <v/>
      </c>
      <c r="F13" s="24">
        <f>-Mensual!$N12</f>
        <v/>
      </c>
      <c r="G13" s="25">
        <f>-SUMIFS(Retiros!$B$8:$B$67,Retiros!$E$8:$E$67,Parámetros!$B$10,Retiros!$F$8:$F$67,$B13)</f>
        <v/>
      </c>
      <c r="H13" s="43">
        <f>$C13+$D13+$E13+$F13+$G13</f>
        <v/>
      </c>
      <c r="J13" s="16" t="inlineStr">
        <is>
          <t>Si un mes te queda en rojo, mira la columna de cobros: casi siempre el problema no es que gastes de más, sino que cobras tarde. Es el punto donde una empresa de servicios rentable igual se queda sin caja.</t>
        </is>
      </c>
    </row>
    <row r="14">
      <c r="A14" s="11" t="inlineStr">
        <is>
          <t>Julio</t>
        </is>
      </c>
      <c r="B14" s="40" t="n">
        <v>7</v>
      </c>
      <c r="C14" s="25">
        <f>$H13</f>
        <v/>
      </c>
      <c r="D14" s="25">
        <f>SUMIFS(Ingresos!$H$8:$H$157,Ingresos!$N$8:$N$157,Parámetros!$B$10,Ingresos!$O$8:$O$157,$B14)</f>
        <v/>
      </c>
      <c r="E14" s="25">
        <f>-SUMIFS(Gastos!$N$8:$N$257,Gastos!$U$8:$U$257,Parámetros!$B$10,Gastos!$V$8:$V$257,$B14)</f>
        <v/>
      </c>
      <c r="F14" s="24">
        <f>-Mensual!$N13</f>
        <v/>
      </c>
      <c r="G14" s="25">
        <f>-SUMIFS(Retiros!$B$8:$B$67,Retiros!$E$8:$E$67,Parámetros!$B$10,Retiros!$F$8:$F$67,$B14)</f>
        <v/>
      </c>
      <c r="H14" s="43">
        <f>$C14+$D14+$E14+$F14+$G14</f>
        <v/>
      </c>
    </row>
    <row r="15">
      <c r="A15" s="11" t="inlineStr">
        <is>
          <t>Agosto</t>
        </is>
      </c>
      <c r="B15" s="40" t="n">
        <v>8</v>
      </c>
      <c r="C15" s="25">
        <f>$H14</f>
        <v/>
      </c>
      <c r="D15" s="25">
        <f>SUMIFS(Ingresos!$H$8:$H$157,Ingresos!$N$8:$N$157,Parámetros!$B$10,Ingresos!$O$8:$O$157,$B15)</f>
        <v/>
      </c>
      <c r="E15" s="25">
        <f>-SUMIFS(Gastos!$N$8:$N$257,Gastos!$U$8:$U$257,Parámetros!$B$10,Gastos!$V$8:$V$257,$B15)</f>
        <v/>
      </c>
      <c r="F15" s="24">
        <f>-Mensual!$N14</f>
        <v/>
      </c>
      <c r="G15" s="25">
        <f>-SUMIFS(Retiros!$B$8:$B$67,Retiros!$E$8:$E$67,Parámetros!$B$10,Retiros!$F$8:$F$67,$B15)</f>
        <v/>
      </c>
      <c r="H15" s="43">
        <f>$C15+$D15+$E15+$F15+$G15</f>
        <v/>
      </c>
    </row>
    <row r="16">
      <c r="A16" s="11" t="inlineStr">
        <is>
          <t>Septiembre</t>
        </is>
      </c>
      <c r="B16" s="40" t="n">
        <v>9</v>
      </c>
      <c r="C16" s="25">
        <f>$H15</f>
        <v/>
      </c>
      <c r="D16" s="25">
        <f>SUMIFS(Ingresos!$H$8:$H$157,Ingresos!$N$8:$N$157,Parámetros!$B$10,Ingresos!$O$8:$O$157,$B16)</f>
        <v/>
      </c>
      <c r="E16" s="25">
        <f>-SUMIFS(Gastos!$N$8:$N$257,Gastos!$U$8:$U$257,Parámetros!$B$10,Gastos!$V$8:$V$257,$B16)</f>
        <v/>
      </c>
      <c r="F16" s="24">
        <f>-Mensual!$N15</f>
        <v/>
      </c>
      <c r="G16" s="25">
        <f>-SUMIFS(Retiros!$B$8:$B$67,Retiros!$E$8:$E$67,Parámetros!$B$10,Retiros!$F$8:$F$67,$B16)</f>
        <v/>
      </c>
      <c r="H16" s="43">
        <f>$C16+$D16+$E16+$F16+$G16</f>
        <v/>
      </c>
    </row>
    <row r="17">
      <c r="A17" s="11" t="inlineStr">
        <is>
          <t>Octubre</t>
        </is>
      </c>
      <c r="B17" s="40" t="n">
        <v>10</v>
      </c>
      <c r="C17" s="25">
        <f>$H16</f>
        <v/>
      </c>
      <c r="D17" s="25">
        <f>SUMIFS(Ingresos!$H$8:$H$157,Ingresos!$N$8:$N$157,Parámetros!$B$10,Ingresos!$O$8:$O$157,$B17)</f>
        <v/>
      </c>
      <c r="E17" s="25">
        <f>-SUMIFS(Gastos!$N$8:$N$257,Gastos!$U$8:$U$257,Parámetros!$B$10,Gastos!$V$8:$V$257,$B17)</f>
        <v/>
      </c>
      <c r="F17" s="24">
        <f>-Mensual!$N16</f>
        <v/>
      </c>
      <c r="G17" s="25">
        <f>-SUMIFS(Retiros!$B$8:$B$67,Retiros!$E$8:$E$67,Parámetros!$B$10,Retiros!$F$8:$F$67,$B17)</f>
        <v/>
      </c>
      <c r="H17" s="43">
        <f>$C17+$D17+$E17+$F17+$G17</f>
        <v/>
      </c>
    </row>
    <row r="18">
      <c r="A18" s="11" t="inlineStr">
        <is>
          <t>Noviembre</t>
        </is>
      </c>
      <c r="B18" s="40" t="n">
        <v>11</v>
      </c>
      <c r="C18" s="25">
        <f>$H17</f>
        <v/>
      </c>
      <c r="D18" s="25">
        <f>SUMIFS(Ingresos!$H$8:$H$157,Ingresos!$N$8:$N$157,Parámetros!$B$10,Ingresos!$O$8:$O$157,$B18)</f>
        <v/>
      </c>
      <c r="E18" s="25">
        <f>-SUMIFS(Gastos!$N$8:$N$257,Gastos!$U$8:$U$257,Parámetros!$B$10,Gastos!$V$8:$V$257,$B18)</f>
        <v/>
      </c>
      <c r="F18" s="24">
        <f>-Mensual!$N17</f>
        <v/>
      </c>
      <c r="G18" s="25">
        <f>-SUMIFS(Retiros!$B$8:$B$67,Retiros!$E$8:$E$67,Parámetros!$B$10,Retiros!$F$8:$F$67,$B18)</f>
        <v/>
      </c>
      <c r="H18" s="43">
        <f>$C18+$D18+$E18+$F18+$G18</f>
        <v/>
      </c>
    </row>
    <row r="19">
      <c r="A19" s="11" t="inlineStr">
        <is>
          <t>Diciembre</t>
        </is>
      </c>
      <c r="B19" s="40" t="n">
        <v>12</v>
      </c>
      <c r="C19" s="25">
        <f>$H18</f>
        <v/>
      </c>
      <c r="D19" s="25">
        <f>SUMIFS(Ingresos!$H$8:$H$157,Ingresos!$N$8:$N$157,Parámetros!$B$10,Ingresos!$O$8:$O$157,$B19)</f>
        <v/>
      </c>
      <c r="E19" s="25">
        <f>-SUMIFS(Gastos!$N$8:$N$257,Gastos!$U$8:$U$257,Parámetros!$B$10,Gastos!$V$8:$V$257,$B19)</f>
        <v/>
      </c>
      <c r="F19" s="24">
        <f>-Mensual!$N18</f>
        <v/>
      </c>
      <c r="G19" s="25">
        <f>-SUMIFS(Retiros!$B$8:$B$67,Retiros!$E$8:$E$67,Parámetros!$B$10,Retiros!$F$8:$F$67,$B19)</f>
        <v/>
      </c>
      <c r="H19" s="43">
        <f>$C19+$D19+$E19+$F19+$G19</f>
        <v/>
      </c>
    </row>
    <row r="20">
      <c r="A20" s="27" t="inlineStr">
        <is>
          <t>TOTAL AÑO</t>
        </is>
      </c>
      <c r="B20" s="47" t="n"/>
      <c r="C20" s="48" t="n"/>
      <c r="D20" s="28">
        <f>SUM(D8:D19)</f>
        <v/>
      </c>
      <c r="E20" s="28">
        <f>SUM(E8:E19)</f>
        <v/>
      </c>
      <c r="F20" s="28">
        <f>SUM(F8:F19)</f>
        <v/>
      </c>
      <c r="G20" s="28">
        <f>SUM(G8:G19)</f>
        <v/>
      </c>
      <c r="H20" s="48" t="n"/>
    </row>
  </sheetData>
  <mergeCells count="5">
    <mergeCell ref="A4:H4"/>
    <mergeCell ref="J13:J17"/>
    <mergeCell ref="A2:H2"/>
    <mergeCell ref="J8:J1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I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20" customWidth="1" min="5" max="5"/>
    <col width="62" customWidth="1" min="6" max="6"/>
    <col width="18" customWidth="1" min="7" max="7"/>
  </cols>
  <sheetData>
    <row r="1" ht="26" customHeight="1">
      <c r="A1" s="17" t="inlineStr">
        <is>
          <t>Parámetros</t>
        </is>
      </c>
    </row>
    <row r="2" ht="15" customHeight="1">
      <c r="A2" s="29" t="inlineStr">
        <is>
          <t>Todo lo que el resto del libro usa para calcular vive acá. Cambia una celda azul y se recalcula el año completo.</t>
        </is>
      </c>
    </row>
    <row r="4">
      <c r="A4" s="30" t="inlineStr">
        <is>
          <t>Azul = lo escribes tú</t>
        </is>
      </c>
      <c r="D4" s="31" t="inlineStr">
        <is>
          <t>Negro = fórmula, no tocar</t>
        </is>
      </c>
      <c r="G4" s="32" t="inlineStr">
        <is>
          <t>Verde = viene de otra hoja</t>
        </is>
      </c>
    </row>
    <row r="6">
      <c r="A6" s="41" t="inlineStr">
        <is>
          <t>1 · Identidad de la empresa</t>
        </is>
      </c>
    </row>
    <row r="7">
      <c r="A7" s="6" t="inlineStr">
        <is>
          <t>Razón social</t>
        </is>
      </c>
      <c r="B7" s="52" t="inlineStr">
        <is>
          <t>GM Growth Partners SpA</t>
        </is>
      </c>
      <c r="F7" s="23" t="inlineStr">
        <is>
          <t>Ajústalo al nombre exacto de tu escritura.</t>
        </is>
      </c>
    </row>
    <row r="8">
      <c r="A8" s="6" t="inlineStr">
        <is>
          <t>RUT</t>
        </is>
      </c>
      <c r="B8" s="52" t="inlineStr">
        <is>
          <t>76.XXX.XXX-X</t>
        </is>
      </c>
      <c r="F8" s="23" t="inlineStr">
        <is>
          <t>Sólo para que los reportes salgan identificados.</t>
        </is>
      </c>
    </row>
    <row r="9">
      <c r="A9" s="6" t="inlineStr">
        <is>
          <t>Giro</t>
        </is>
      </c>
      <c r="B9" s="52" t="inlineStr">
        <is>
          <t>Servicios de marketing y desarrollo digital</t>
        </is>
      </c>
      <c r="F9" s="23" t="inlineStr"/>
    </row>
    <row r="10">
      <c r="A10" s="6" t="inlineStr">
        <is>
          <t>Año de trabajo</t>
        </is>
      </c>
      <c r="B10" s="53" t="n">
        <v>2026</v>
      </c>
      <c r="F10" s="23" t="inlineStr">
        <is>
          <t>⚠ Todas las hojas filtran por este año. Para llevar 2027, duplica el archivo y cambia esta celda.</t>
        </is>
      </c>
    </row>
    <row r="11">
      <c r="A11" s="6" t="inlineStr">
        <is>
          <t>Régimen tributario</t>
        </is>
      </c>
      <c r="B11" s="38" t="inlineStr">
        <is>
          <t>Pro Pyme General</t>
        </is>
      </c>
      <c r="F11" s="23" t="inlineStr">
        <is>
          <t>Art. 14 letra D N°3 de la Ley de la Renta. Tributa sobre base CAJA: ingresos percibidos menos gastos pagados.</t>
        </is>
      </c>
    </row>
    <row r="12">
      <c r="A12" s="41" t="inlineStr">
        <is>
          <t>2 · Tasas tributarias vigentes</t>
        </is>
      </c>
    </row>
    <row r="13">
      <c r="A13" s="6" t="inlineStr">
        <is>
          <t>IVA</t>
        </is>
      </c>
      <c r="B13" s="54" t="n">
        <v>0.19</v>
      </c>
      <c r="F13" s="23" t="inlineStr">
        <is>
          <t>Tasa general. No ha cambiado.</t>
        </is>
      </c>
    </row>
    <row r="14">
      <c r="A14" s="6" t="inlineStr">
        <is>
          <t>Impuesto de Primera Categoría (IDPC)</t>
        </is>
      </c>
      <c r="B14" s="54" t="n">
        <v>0.125</v>
      </c>
      <c r="F14" s="23" t="inlineStr">
        <is>
          <t>Pro Pyme General, años comerciales 2025-2027 (rebaja transitoria Ley 21.755). Sube a 15% en 2028.</t>
        </is>
      </c>
    </row>
    <row r="15">
      <c r="A15" s="6" t="inlineStr">
        <is>
          <t>Tasa de PPM mensual</t>
        </is>
      </c>
      <c r="B15" s="55" t="n">
        <v>0.00125</v>
      </c>
      <c r="F15" s="23" t="inlineStr">
        <is>
          <t>Pro Pyme General 2026: 0,25% rebajado a la mitad por la Ley 21.755. Si facturas más de 50.000 UF al año, la base es 0,5%.</t>
        </is>
      </c>
    </row>
    <row r="16">
      <c r="A16" s="6" t="inlineStr">
        <is>
          <t>Retención de honorarios a terceros</t>
        </is>
      </c>
      <c r="B16" s="54" t="n">
        <v>0.1525</v>
      </c>
      <c r="F16" s="23" t="inlineStr">
        <is>
          <t>Desde el 1-ene-2026 (era 14,5% en 2025). Es lo que retienes al freelance que te da boleta de honorarios.</t>
        </is>
      </c>
    </row>
    <row r="18" ht="28" customHeight="1">
      <c r="A18" s="16" t="inlineStr">
        <is>
          <t>⚠ Verificado en agosto 2026 contra Circular SII N°53/2025 y Ley 21.755. Estas tasas son transitorias y cambian: confírmalas con tu contador cada enero y corrige la celda azul. Todo el libro se recalcula solo.</t>
        </is>
      </c>
    </row>
    <row r="20">
      <c r="A20" s="41" t="inlineStr">
        <is>
          <t>3 · Saldos con los que parte el año</t>
        </is>
      </c>
    </row>
    <row r="21">
      <c r="A21" s="6" t="inlineStr">
        <is>
          <t>Caja + banco al 1 de enero</t>
        </is>
      </c>
      <c r="B21" s="39" t="n">
        <v>0</v>
      </c>
      <c r="F21" s="23" t="inlineStr">
        <is>
          <t>Suma de tus cuentas de la empresa el 31 de diciembre anterior. Es el punto de partida del flujo de caja.</t>
        </is>
      </c>
    </row>
    <row r="22">
      <c r="A22" s="6" t="inlineStr">
        <is>
          <t>Remanente de crédito fiscal IVA arrastrado</t>
        </is>
      </c>
      <c r="B22" s="39" t="n">
        <v>0</v>
      </c>
      <c r="F22" s="23" t="inlineStr">
        <is>
          <t>Si en diciembre te sobró crédito fiscal, va acá. Lo verás en el código 77 de tu último F29.</t>
        </is>
      </c>
    </row>
    <row r="24">
      <c r="A24" s="41" t="inlineStr">
        <is>
          <t>4 · Valor de la UTM mes a mes</t>
        </is>
      </c>
    </row>
    <row r="25" ht="30" customHeight="1">
      <c r="A25" s="9" t="inlineStr">
        <is>
          <t>Mes</t>
        </is>
      </c>
      <c r="B25" s="9" t="inlineStr">
        <is>
          <t>UTM ($)</t>
        </is>
      </c>
    </row>
    <row r="26">
      <c r="A26" s="11" t="inlineStr">
        <is>
          <t>Enero</t>
        </is>
      </c>
      <c r="B26" s="39" t="n">
        <v>71649</v>
      </c>
      <c r="F26" s="23" t="inlineStr">
        <is>
          <t>Valor de referencia agosto 2026: $71.649. Actualízalo en sii.cl → Valores y fechas → UTM.</t>
        </is>
      </c>
    </row>
    <row r="27">
      <c r="A27" s="11" t="inlineStr">
        <is>
          <t>Febrero</t>
        </is>
      </c>
      <c r="B27" s="39" t="n">
        <v>71649</v>
      </c>
    </row>
    <row r="28">
      <c r="A28" s="11" t="inlineStr">
        <is>
          <t>Marzo</t>
        </is>
      </c>
      <c r="B28" s="39" t="n">
        <v>71649</v>
      </c>
    </row>
    <row r="29">
      <c r="A29" s="11" t="inlineStr">
        <is>
          <t>Abril</t>
        </is>
      </c>
      <c r="B29" s="39" t="n">
        <v>71649</v>
      </c>
    </row>
    <row r="30">
      <c r="A30" s="11" t="inlineStr">
        <is>
          <t>Mayo</t>
        </is>
      </c>
      <c r="B30" s="39" t="n">
        <v>71649</v>
      </c>
    </row>
    <row r="31">
      <c r="A31" s="11" t="inlineStr">
        <is>
          <t>Junio</t>
        </is>
      </c>
      <c r="B31" s="39" t="n">
        <v>71649</v>
      </c>
    </row>
    <row r="32">
      <c r="A32" s="11" t="inlineStr">
        <is>
          <t>Julio</t>
        </is>
      </c>
      <c r="B32" s="39" t="n">
        <v>71649</v>
      </c>
    </row>
    <row r="33">
      <c r="A33" s="11" t="inlineStr">
        <is>
          <t>Agosto</t>
        </is>
      </c>
      <c r="B33" s="39" t="n">
        <v>71649</v>
      </c>
    </row>
    <row r="34">
      <c r="A34" s="11" t="inlineStr">
        <is>
          <t>Septiembre</t>
        </is>
      </c>
      <c r="B34" s="39" t="n">
        <v>71649</v>
      </c>
    </row>
    <row r="35">
      <c r="A35" s="11" t="inlineStr">
        <is>
          <t>Octubre</t>
        </is>
      </c>
      <c r="B35" s="39" t="n">
        <v>71649</v>
      </c>
    </row>
    <row r="36">
      <c r="A36" s="11" t="inlineStr">
        <is>
          <t>Noviembre</t>
        </is>
      </c>
      <c r="B36" s="39" t="n">
        <v>71649</v>
      </c>
    </row>
    <row r="37">
      <c r="A37" s="11" t="inlineStr">
        <is>
          <t>Diciembre</t>
        </is>
      </c>
      <c r="B37" s="39" t="n">
        <v>71649</v>
      </c>
    </row>
    <row r="38">
      <c r="A38" s="42" t="inlineStr">
        <is>
          <t>UTA (UTM de diciembre × 12)</t>
        </is>
      </c>
      <c r="B38" s="56">
        <f>B37*12</f>
        <v/>
      </c>
      <c r="F38" s="23" t="inlineStr">
        <is>
          <t>Unidad anual. La usa la estimación de tu Global Complementario en la hoja Retiros.</t>
        </is>
      </c>
    </row>
    <row r="40">
      <c r="A40" s="41" t="inlineStr">
        <is>
          <t>5 · Tramos del Impuesto Global Complementario (tabla anual del SII)</t>
        </is>
      </c>
    </row>
    <row r="41" ht="30" customHeight="1">
      <c r="A41" s="9" t="inlineStr">
        <is>
          <t>Desde (UTA)</t>
        </is>
      </c>
      <c r="B41" s="9" t="inlineStr">
        <is>
          <t>Hasta (UTA)</t>
        </is>
      </c>
      <c r="C41" s="9" t="inlineStr">
        <is>
          <t>Tasa</t>
        </is>
      </c>
      <c r="D41" s="9" t="inlineStr">
        <is>
          <t>Rebaja (UTA)</t>
        </is>
      </c>
      <c r="E41" s="9" t="inlineStr">
        <is>
          <t>Desde ($)</t>
        </is>
      </c>
      <c r="F41" s="9" t="inlineStr">
        <is>
          <t>Rebaja ($)</t>
        </is>
      </c>
      <c r="G41" s="9" t="inlineStr"/>
    </row>
    <row r="42">
      <c r="A42" s="57" t="n">
        <v>0</v>
      </c>
      <c r="B42" s="57" t="n">
        <v>13.5</v>
      </c>
      <c r="C42" s="58" t="n">
        <v>0</v>
      </c>
      <c r="D42" s="59" t="n">
        <v>0</v>
      </c>
      <c r="E42" s="25">
        <f>A42*Parámetros!$B$38</f>
        <v/>
      </c>
      <c r="F42" s="25">
        <f>D42*Parámetros!$B$38</f>
        <v/>
      </c>
    </row>
    <row r="43">
      <c r="A43" s="57" t="n">
        <v>13.5</v>
      </c>
      <c r="B43" s="57" t="n">
        <v>30</v>
      </c>
      <c r="C43" s="58" t="n">
        <v>0.04</v>
      </c>
      <c r="D43" s="59" t="n">
        <v>0.54</v>
      </c>
      <c r="E43" s="25">
        <f>A43*Parámetros!$B$38</f>
        <v/>
      </c>
      <c r="F43" s="25">
        <f>D43*Parámetros!$B$38</f>
        <v/>
      </c>
    </row>
    <row r="44">
      <c r="A44" s="57" t="n">
        <v>30</v>
      </c>
      <c r="B44" s="57" t="n">
        <v>50</v>
      </c>
      <c r="C44" s="58" t="n">
        <v>0.08</v>
      </c>
      <c r="D44" s="59" t="n">
        <v>1.74</v>
      </c>
      <c r="E44" s="25">
        <f>A44*Parámetros!$B$38</f>
        <v/>
      </c>
      <c r="F44" s="25">
        <f>D44*Parámetros!$B$38</f>
        <v/>
      </c>
    </row>
    <row r="45">
      <c r="A45" s="57" t="n">
        <v>50</v>
      </c>
      <c r="B45" s="57" t="n">
        <v>70</v>
      </c>
      <c r="C45" s="58" t="n">
        <v>0.135</v>
      </c>
      <c r="D45" s="59" t="n">
        <v>4.49</v>
      </c>
      <c r="E45" s="25">
        <f>A45*Parámetros!$B$38</f>
        <v/>
      </c>
      <c r="F45" s="25">
        <f>D45*Parámetros!$B$38</f>
        <v/>
      </c>
    </row>
    <row r="46">
      <c r="A46" s="57" t="n">
        <v>70</v>
      </c>
      <c r="B46" s="57" t="n">
        <v>90</v>
      </c>
      <c r="C46" s="58" t="n">
        <v>0.23</v>
      </c>
      <c r="D46" s="59" t="n">
        <v>11.14</v>
      </c>
      <c r="E46" s="25">
        <f>A46*Parámetros!$B$38</f>
        <v/>
      </c>
      <c r="F46" s="25">
        <f>D46*Parámetros!$B$38</f>
        <v/>
      </c>
    </row>
    <row r="47">
      <c r="A47" s="57" t="n">
        <v>90</v>
      </c>
      <c r="B47" s="57" t="n">
        <v>120</v>
      </c>
      <c r="C47" s="58" t="n">
        <v>0.304</v>
      </c>
      <c r="D47" s="59" t="n">
        <v>17.8</v>
      </c>
      <c r="E47" s="25">
        <f>A47*Parámetros!$B$38</f>
        <v/>
      </c>
      <c r="F47" s="25">
        <f>D47*Parámetros!$B$38</f>
        <v/>
      </c>
    </row>
    <row r="48">
      <c r="A48" s="57" t="n">
        <v>120</v>
      </c>
      <c r="B48" s="57" t="n">
        <v>310</v>
      </c>
      <c r="C48" s="58" t="n">
        <v>0.35</v>
      </c>
      <c r="D48" s="59" t="n">
        <v>23.32</v>
      </c>
      <c r="E48" s="25">
        <f>A48*Parámetros!$B$38</f>
        <v/>
      </c>
      <c r="F48" s="25">
        <f>D48*Parámetros!$B$38</f>
        <v/>
      </c>
    </row>
    <row r="49">
      <c r="A49" s="57" t="n">
        <v>310</v>
      </c>
      <c r="B49" s="57" t="inlineStr">
        <is>
          <t>y más</t>
        </is>
      </c>
      <c r="C49" s="58" t="n">
        <v>0.4</v>
      </c>
      <c r="D49" s="59" t="n">
        <v>38.82</v>
      </c>
      <c r="E49" s="25">
        <f>A49*Parámetros!$B$38</f>
        <v/>
      </c>
      <c r="F49" s="25">
        <f>D49*Parámetros!$B$38</f>
        <v/>
      </c>
    </row>
    <row r="50">
      <c r="A50" s="16" t="inlineStr">
        <is>
          <t>Impuesto = (base × tasa del tramo) − rebaja. Es progresivo por tramos: la tasa alta sólo golpea la parte que entra en ese tramo.</t>
        </is>
      </c>
    </row>
    <row r="52">
      <c r="A52" s="41" t="inlineStr">
        <is>
          <t>6 · Tipos de documento de GASTO y su efecto tributario</t>
        </is>
      </c>
    </row>
    <row r="53" ht="30" customHeight="1">
      <c r="A53" s="9" t="inlineStr">
        <is>
          <t>Tipo de documento</t>
        </is>
      </c>
      <c r="B53" s="9" t="inlineStr">
        <is>
          <t>¿Tiene IVA?</t>
        </is>
      </c>
      <c r="C53" s="9" t="inlineStr">
        <is>
          <t>¿Da crédito fiscal?</t>
        </is>
      </c>
      <c r="D53" s="9" t="inlineStr">
        <is>
          <t>¿Lleva retención?</t>
        </is>
      </c>
      <c r="E53" s="9" t="inlineStr"/>
      <c r="F53" s="9" t="inlineStr">
        <is>
          <t>Qué significa</t>
        </is>
      </c>
    </row>
    <row r="54">
      <c r="A54" s="11" t="inlineStr">
        <is>
          <t>Factura afecta</t>
        </is>
      </c>
      <c r="B54" s="60" t="n">
        <v>1</v>
      </c>
      <c r="C54" s="60" t="n">
        <v>1</v>
      </c>
      <c r="D54" s="61" t="n">
        <v>0</v>
      </c>
      <c r="F54" s="23" t="inlineStr">
        <is>
          <t>Lo normal: proveedor chileno con giro. El IVA se recupera como crédito fiscal.</t>
        </is>
      </c>
    </row>
    <row r="55">
      <c r="A55" s="11" t="inlineStr">
        <is>
          <t>Factura exenta o no afecta</t>
        </is>
      </c>
      <c r="B55" s="61" t="n">
        <v>0</v>
      </c>
      <c r="C55" s="61" t="n">
        <v>0</v>
      </c>
      <c r="D55" s="61" t="n">
        <v>0</v>
      </c>
      <c r="F55" s="23" t="inlineStr">
        <is>
          <t>Sin IVA. Ej. servicios exentos, arriendo de inmueble sin muebles.</t>
        </is>
      </c>
    </row>
    <row r="56">
      <c r="A56" s="11" t="inlineStr">
        <is>
          <t>Boleta de honorarios recibida</t>
        </is>
      </c>
      <c r="B56" s="61" t="n">
        <v>0</v>
      </c>
      <c r="C56" s="61" t="n">
        <v>0</v>
      </c>
      <c r="D56" s="60" t="n">
        <v>1</v>
      </c>
      <c r="F56" s="23" t="inlineStr">
        <is>
          <t>Freelance a honorarios. Sin IVA. Tú retienes y lo pagas en el F29 (código 153).</t>
        </is>
      </c>
    </row>
    <row r="57">
      <c r="A57" s="11" t="inlineStr">
        <is>
          <t>Boleta de venta</t>
        </is>
      </c>
      <c r="B57" s="61" t="n">
        <v>0</v>
      </c>
      <c r="C57" s="61" t="n">
        <v>0</v>
      </c>
      <c r="D57" s="61" t="n">
        <v>0</v>
      </c>
      <c r="F57" s="23" t="inlineStr">
        <is>
          <t>NO da derecho a crédito fiscal, aunque el precio traiga IVA adentro.</t>
        </is>
      </c>
    </row>
    <row r="58">
      <c r="A58" s="11" t="inlineStr">
        <is>
          <t>Servicio digital extranjero</t>
        </is>
      </c>
      <c r="B58" s="60" t="n">
        <v>1</v>
      </c>
      <c r="C58" s="61" t="n">
        <v>0</v>
      </c>
      <c r="D58" s="61" t="n">
        <v>0</v>
      </c>
      <c r="F58" s="23" t="inlineStr">
        <is>
          <t>SaaS del exterior (Claude, Cloudflare, Airtable...). Ver nota al pie.</t>
        </is>
      </c>
    </row>
    <row r="59">
      <c r="A59" s="11" t="inlineStr">
        <is>
          <t>Nota de crédito recibida</t>
        </is>
      </c>
      <c r="B59" s="60" t="n">
        <v>1</v>
      </c>
      <c r="C59" s="60" t="n">
        <v>1</v>
      </c>
      <c r="D59" s="61" t="n">
        <v>0</v>
      </c>
      <c r="F59" s="23" t="inlineStr">
        <is>
          <t>Anula o rebaja una factura. Registra el monto en NEGATIVO.</t>
        </is>
      </c>
    </row>
    <row r="60">
      <c r="A60" s="11" t="inlineStr">
        <is>
          <t>Sin documento</t>
        </is>
      </c>
      <c r="B60" s="61" t="n">
        <v>0</v>
      </c>
      <c r="C60" s="61" t="n">
        <v>0</v>
      </c>
      <c r="D60" s="61" t="n">
        <v>0</v>
      </c>
      <c r="F60" s="23" t="inlineStr">
        <is>
          <t>Gasto sin respaldo: NO es gasto aceptado ante el SII. Marca 'No' en gasto aceptado.</t>
        </is>
      </c>
    </row>
    <row r="61" ht="30" customHeight="1">
      <c r="A61" s="16" t="inlineStr">
        <is>
          <t>⚠ Servicio digital extranjero: si el proveedor está inscrito en el régimen simplificado del SII y te cobra 19%, ese IVA NO es crédito fiscal. Si en cambio le declaraste tu RUT de empresa, no debe cobrarte IVA y tú lo declaras por cambio de sujeto (códigos 597/598 del F29), donde sí lo recuperas. Pregúntale a tu contador cuál es tu caso y cambia el 0 de la columna C si corresponde.</t>
        </is>
      </c>
    </row>
    <row r="62">
      <c r="A62" s="41" t="inlineStr">
        <is>
          <t>7 · Tipos de documento de INGRESO</t>
        </is>
      </c>
    </row>
    <row r="63" ht="30" customHeight="1">
      <c r="A63" s="9" t="inlineStr">
        <is>
          <t>Tipo de documento</t>
        </is>
      </c>
      <c r="B63" s="9" t="inlineStr">
        <is>
          <t>¿Afecto a IVA?</t>
        </is>
      </c>
      <c r="C63" s="9" t="inlineStr"/>
      <c r="D63" s="9" t="inlineStr"/>
      <c r="E63" s="9" t="inlineStr"/>
      <c r="F63" s="9" t="inlineStr">
        <is>
          <t>Qué significa</t>
        </is>
      </c>
    </row>
    <row r="64">
      <c r="A64" s="11" t="inlineStr">
        <is>
          <t>Factura afecta</t>
        </is>
      </c>
      <c r="B64" s="60" t="n">
        <v>1</v>
      </c>
      <c r="F64" s="23" t="inlineStr">
        <is>
          <t>Servicio a cliente en Chile. Lleva IVA 19%.</t>
        </is>
      </c>
    </row>
    <row r="65">
      <c r="A65" s="11" t="inlineStr">
        <is>
          <t>Factura exenta</t>
        </is>
      </c>
      <c r="B65" s="61" t="n">
        <v>0</v>
      </c>
      <c r="F65" s="23" t="inlineStr">
        <is>
          <t>Sólo si tu servicio califica como exento. Confírmalo con tu contador.</t>
        </is>
      </c>
    </row>
    <row r="66">
      <c r="A66" s="11" t="inlineStr">
        <is>
          <t>Factura de exportación</t>
        </is>
      </c>
      <c r="B66" s="61" t="n">
        <v>0</v>
      </c>
      <c r="F66" s="23" t="inlineStr">
        <is>
          <t>Cliente sin domicilio en Chile. Exenta de IVA, pero SÍ conserva el crédito fiscal.</t>
        </is>
      </c>
    </row>
    <row r="67">
      <c r="A67" s="11" t="inlineStr">
        <is>
          <t>Boleta de servicio</t>
        </is>
      </c>
      <c r="B67" s="60" t="n">
        <v>1</v>
      </c>
      <c r="F67" s="23" t="inlineStr">
        <is>
          <t>Cliente persona natural. El monto que registras es el NETO.</t>
        </is>
      </c>
    </row>
    <row r="68">
      <c r="A68" s="11" t="inlineStr">
        <is>
          <t>Nota de crédito emitida</t>
        </is>
      </c>
      <c r="B68" s="60" t="n">
        <v>1</v>
      </c>
      <c r="F68" s="23" t="inlineStr">
        <is>
          <t>Anula o rebaja una factura. Registra el monto en NEGATIVO.</t>
        </is>
      </c>
    </row>
    <row r="70">
      <c r="A70" s="41" t="inlineStr">
        <is>
          <t>8 · Listas de los menús desplegables (agrega filas si te faltan)</t>
        </is>
      </c>
    </row>
    <row r="71" ht="30" customHeight="1">
      <c r="A71" s="9" t="inlineStr">
        <is>
          <t>Categoría de gasto</t>
        </is>
      </c>
      <c r="B71" s="9" t="inlineStr">
        <is>
          <t>Medio de pago</t>
        </is>
      </c>
      <c r="C71" s="9" t="inlineStr"/>
      <c r="D71" s="9" t="inlineStr"/>
      <c r="E71" s="9" t="inlineStr"/>
      <c r="F71" s="9" t="inlineStr"/>
    </row>
    <row r="72">
      <c r="A72" s="62" t="inlineStr">
        <is>
          <t>Software y suscripciones</t>
        </is>
      </c>
      <c r="B72" s="62" t="inlineStr">
        <is>
          <t>Transferencia</t>
        </is>
      </c>
    </row>
    <row r="73">
      <c r="A73" s="62" t="inlineStr">
        <is>
          <t>Subcontratos y freelance</t>
        </is>
      </c>
      <c r="B73" s="62" t="inlineStr">
        <is>
          <t>Tarjeta de crédito</t>
        </is>
      </c>
    </row>
    <row r="74">
      <c r="A74" s="62" t="inlineStr">
        <is>
          <t>Publicidad y medios</t>
        </is>
      </c>
      <c r="B74" s="62" t="inlineStr">
        <is>
          <t>Tarjeta de débito</t>
        </is>
      </c>
    </row>
    <row r="75">
      <c r="A75" s="62" t="inlineStr">
        <is>
          <t>Honorarios profesionales</t>
        </is>
      </c>
      <c r="B75" s="62" t="inlineStr">
        <is>
          <t>Efectivo</t>
        </is>
      </c>
    </row>
    <row r="76">
      <c r="A76" s="62" t="inlineStr">
        <is>
          <t>Contabilidad y legal</t>
        </is>
      </c>
      <c r="B76" s="62" t="inlineStr">
        <is>
          <t>Cheque</t>
        </is>
      </c>
    </row>
    <row r="77">
      <c r="A77" s="62" t="inlineStr">
        <is>
          <t>Arriendo y oficina</t>
        </is>
      </c>
      <c r="B77" s="62" t="inlineStr">
        <is>
          <t>Otro</t>
        </is>
      </c>
    </row>
    <row r="78">
      <c r="A78" s="62" t="inlineStr">
        <is>
          <t>Servicios básicos e internet</t>
        </is>
      </c>
      <c r="B78" s="62" t="n"/>
    </row>
    <row r="79">
      <c r="A79" s="62" t="inlineStr">
        <is>
          <t>Equipamiento y hardware</t>
        </is>
      </c>
      <c r="B79" s="62" t="n"/>
    </row>
    <row r="80">
      <c r="A80" s="62" t="inlineStr">
        <is>
          <t>Comisiones bancarias</t>
        </is>
      </c>
      <c r="B80" s="62" t="n"/>
    </row>
    <row r="81">
      <c r="A81" s="62" t="inlineStr">
        <is>
          <t>Movilización y viáticos</t>
        </is>
      </c>
      <c r="B81" s="62" t="n"/>
    </row>
    <row r="82">
      <c r="A82" s="62" t="inlineStr">
        <is>
          <t>Capacitación</t>
        </is>
      </c>
      <c r="B82" s="62" t="n"/>
    </row>
    <row r="83">
      <c r="A83" s="62" t="inlineStr">
        <is>
          <t>Impuestos y patente municipal</t>
        </is>
      </c>
      <c r="B83" s="62" t="n"/>
    </row>
    <row r="84">
      <c r="A84" s="62" t="inlineStr">
        <is>
          <t>Otros gastos</t>
        </is>
      </c>
      <c r="B84" s="62" t="n"/>
    </row>
    <row r="85">
      <c r="A85" s="62" t="n"/>
      <c r="B85" s="62" t="n"/>
    </row>
    <row r="86">
      <c r="A86" s="62" t="n"/>
      <c r="B86" s="62" t="n"/>
    </row>
    <row r="87">
      <c r="A87" s="62" t="n"/>
      <c r="B87" s="62" t="n"/>
    </row>
    <row r="88">
      <c r="A88" s="62" t="n"/>
      <c r="B88" s="62" t="n"/>
    </row>
  </sheetData>
  <mergeCells count="16">
    <mergeCell ref="A61:G61"/>
    <mergeCell ref="A1:G1"/>
    <mergeCell ref="A40:G40"/>
    <mergeCell ref="A18:G18"/>
    <mergeCell ref="A70:G70"/>
    <mergeCell ref="A6:G6"/>
    <mergeCell ref="D4:F4"/>
    <mergeCell ref="A12:G12"/>
    <mergeCell ref="A50:G50"/>
    <mergeCell ref="A62:G62"/>
    <mergeCell ref="A20:G20"/>
    <mergeCell ref="A24:G24"/>
    <mergeCell ref="A2:G2"/>
    <mergeCell ref="G4:I4"/>
    <mergeCell ref="A52:G5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2026-08-20T14:15:36Z</dcterms:created>
  <dcterms:modified xsi:type="dcterms:W3CDTF">2026-08-20T14:15:37Z</dcterms:modified>
</cp:coreProperties>
</file>